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NCC\NCC NEW\"/>
    </mc:Choice>
  </mc:AlternateContent>
  <xr:revisionPtr revIDLastSave="0" documentId="8_{0495FCD0-1209-4C44-BCAE-58BCB89E9D97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IGNAL Refresh" sheetId="1" r:id="rId1"/>
    <sheet name="Sheet1" sheetId="15" r:id="rId2"/>
    <sheet name="SIGNAL Bill" sheetId="8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8" l="1"/>
  <c r="G22" i="8"/>
  <c r="E76" i="1" l="1"/>
  <c r="I75" i="1"/>
  <c r="J75" i="1"/>
  <c r="K75" i="1"/>
  <c r="N75" i="1" s="1"/>
  <c r="R75" i="1" s="1"/>
  <c r="L75" i="1"/>
  <c r="P75" i="1" s="1"/>
  <c r="J12" i="8"/>
  <c r="AB12" i="8"/>
  <c r="AB10" i="8"/>
  <c r="AB8" i="8"/>
  <c r="AB6" i="8"/>
  <c r="X12" i="8"/>
  <c r="X10" i="8"/>
  <c r="J20" i="8"/>
  <c r="J16" i="8"/>
  <c r="J14" i="8"/>
  <c r="J10" i="8"/>
  <c r="J8" i="8"/>
  <c r="J6" i="8"/>
  <c r="BC76" i="1"/>
  <c r="BC77" i="1" s="1"/>
  <c r="BD76" i="1"/>
  <c r="BD77" i="1" s="1"/>
  <c r="BC34" i="1"/>
  <c r="BC35" i="1" s="1"/>
  <c r="BD34" i="1"/>
  <c r="BD35" i="1" s="1"/>
  <c r="F34" i="1"/>
  <c r="G34" i="1"/>
  <c r="H34" i="1"/>
  <c r="E34" i="1"/>
  <c r="G37" i="1" l="1"/>
  <c r="G38" i="1" s="1"/>
  <c r="Q20" i="8"/>
  <c r="U20" i="8" s="1"/>
  <c r="Q18" i="8"/>
  <c r="U18" i="8" s="1"/>
  <c r="U80" i="15"/>
  <c r="U79" i="15"/>
  <c r="U78" i="15"/>
  <c r="U77" i="15"/>
  <c r="U76" i="15"/>
  <c r="U75" i="15"/>
  <c r="U74" i="15"/>
  <c r="J74" i="15"/>
  <c r="C74" i="15"/>
  <c r="U72" i="15"/>
  <c r="N72" i="15"/>
  <c r="U70" i="15"/>
  <c r="N70" i="15"/>
  <c r="G70" i="15"/>
  <c r="U68" i="15"/>
  <c r="N68" i="15"/>
  <c r="G68" i="15"/>
  <c r="U66" i="15"/>
  <c r="N66" i="15"/>
  <c r="G66" i="15"/>
  <c r="U64" i="15"/>
  <c r="N64" i="15"/>
  <c r="G64" i="15"/>
  <c r="U62" i="15"/>
  <c r="N62" i="15"/>
  <c r="G62" i="15"/>
  <c r="U60" i="15"/>
  <c r="N60" i="15"/>
  <c r="G60" i="15"/>
  <c r="U58" i="15"/>
  <c r="N58" i="15"/>
  <c r="G58" i="15"/>
  <c r="Q22" i="15"/>
  <c r="J22" i="15"/>
  <c r="C22" i="15"/>
  <c r="N20" i="15"/>
  <c r="G20" i="15"/>
  <c r="N18" i="15"/>
  <c r="G18" i="15"/>
  <c r="X16" i="15"/>
  <c r="X22" i="15" s="1"/>
  <c r="U16" i="15"/>
  <c r="N16" i="15"/>
  <c r="G16" i="15"/>
  <c r="AB14" i="15"/>
  <c r="U14" i="15"/>
  <c r="N14" i="15"/>
  <c r="G14" i="15"/>
  <c r="AB12" i="15"/>
  <c r="U12" i="15"/>
  <c r="N12" i="15"/>
  <c r="G12" i="15"/>
  <c r="AB10" i="15"/>
  <c r="U10" i="15"/>
  <c r="N10" i="15"/>
  <c r="G10" i="15"/>
  <c r="AB8" i="15"/>
  <c r="U8" i="15"/>
  <c r="N8" i="15"/>
  <c r="G8" i="15"/>
  <c r="AB6" i="15"/>
  <c r="U6" i="15"/>
  <c r="N6" i="15"/>
  <c r="G6" i="15"/>
  <c r="N74" i="15" l="1"/>
  <c r="W74" i="15"/>
  <c r="W82" i="15" s="1"/>
  <c r="U81" i="15"/>
  <c r="U22" i="15"/>
  <c r="G22" i="15"/>
  <c r="X74" i="15" s="1"/>
  <c r="AB16" i="15"/>
  <c r="AB22" i="15" s="1"/>
  <c r="N22" i="15"/>
  <c r="G74" i="15"/>
  <c r="N20" i="8"/>
  <c r="CF34" i="1"/>
  <c r="CF35" i="1"/>
  <c r="FN53" i="1"/>
  <c r="L78" i="15" l="1"/>
  <c r="EL76" i="1"/>
  <c r="EL77" i="1" s="1"/>
  <c r="EM76" i="1"/>
  <c r="EM77" i="1" s="1"/>
  <c r="EN76" i="1"/>
  <c r="EN77" i="1" s="1"/>
  <c r="EK76" i="1"/>
  <c r="EK77" i="1" s="1"/>
  <c r="CR76" i="1"/>
  <c r="CR77" i="1" s="1"/>
  <c r="CS76" i="1"/>
  <c r="CS77" i="1" s="1"/>
  <c r="AE76" i="1"/>
  <c r="AF76" i="1"/>
  <c r="AF77" i="1" s="1"/>
  <c r="EN34" i="1"/>
  <c r="EN35" i="1" s="1"/>
  <c r="CS34" i="1"/>
  <c r="CS35" i="1" s="1"/>
  <c r="AE34" i="1"/>
  <c r="AE35" i="1" s="1"/>
  <c r="AF34" i="1"/>
  <c r="AF35" i="1" s="1"/>
  <c r="AE77" i="1" l="1"/>
  <c r="J18" i="8"/>
  <c r="N56" i="8"/>
  <c r="N58" i="8"/>
  <c r="N60" i="8"/>
  <c r="N62" i="8"/>
  <c r="N64" i="8"/>
  <c r="N54" i="8"/>
  <c r="U56" i="8"/>
  <c r="U58" i="8"/>
  <c r="U60" i="8"/>
  <c r="U54" i="8"/>
  <c r="G56" i="8"/>
  <c r="G58" i="8"/>
  <c r="G60" i="8"/>
  <c r="G62" i="8"/>
  <c r="G54" i="8"/>
  <c r="N8" i="8"/>
  <c r="N10" i="8"/>
  <c r="N12" i="8"/>
  <c r="N14" i="8"/>
  <c r="N16" i="8"/>
  <c r="N18" i="8"/>
  <c r="N6" i="8"/>
  <c r="FN70" i="1" l="1"/>
  <c r="FN64" i="1"/>
  <c r="FN62" i="1"/>
  <c r="FN59" i="1"/>
  <c r="FN54" i="1"/>
  <c r="FN55" i="1"/>
  <c r="FN56" i="1"/>
  <c r="FN57" i="1"/>
  <c r="FN58" i="1"/>
  <c r="FN60" i="1"/>
  <c r="FN61" i="1"/>
  <c r="FN63" i="1"/>
  <c r="FN65" i="1"/>
  <c r="FN66" i="1"/>
  <c r="FN67" i="1"/>
  <c r="FN68" i="1"/>
  <c r="FN69" i="1"/>
  <c r="FN71" i="1"/>
  <c r="FN72" i="1"/>
  <c r="FN73" i="1"/>
  <c r="FN74" i="1"/>
  <c r="FA15" i="1" l="1"/>
  <c r="FN25" i="1"/>
  <c r="FO25" i="1" s="1"/>
  <c r="FN13" i="1"/>
  <c r="FO13" i="1" s="1"/>
  <c r="FN14" i="1"/>
  <c r="FO14" i="1" s="1"/>
  <c r="FN15" i="1"/>
  <c r="FO15" i="1" s="1"/>
  <c r="FN16" i="1"/>
  <c r="FO16" i="1" s="1"/>
  <c r="FN17" i="1"/>
  <c r="FO17" i="1" s="1"/>
  <c r="FN18" i="1"/>
  <c r="FO18" i="1" s="1"/>
  <c r="FN19" i="1"/>
  <c r="FO19" i="1" s="1"/>
  <c r="FN20" i="1"/>
  <c r="FO20" i="1" s="1"/>
  <c r="FN21" i="1"/>
  <c r="FO21" i="1" s="1"/>
  <c r="FN22" i="1"/>
  <c r="FO22" i="1" s="1"/>
  <c r="FN23" i="1"/>
  <c r="FO23" i="1" s="1"/>
  <c r="FN24" i="1"/>
  <c r="FO24" i="1" s="1"/>
  <c r="FN26" i="1"/>
  <c r="FO26" i="1" s="1"/>
  <c r="FN27" i="1"/>
  <c r="FO27" i="1" s="1"/>
  <c r="FN28" i="1"/>
  <c r="FO28" i="1" s="1"/>
  <c r="FN29" i="1"/>
  <c r="FO29" i="1" s="1"/>
  <c r="FN30" i="1"/>
  <c r="FO30" i="1" s="1"/>
  <c r="FN31" i="1"/>
  <c r="FO31" i="1" s="1"/>
  <c r="FN32" i="1"/>
  <c r="FO32" i="1" s="1"/>
  <c r="FN33" i="1"/>
  <c r="FO33" i="1" s="1"/>
  <c r="FN12" i="1"/>
  <c r="FO12" i="1" s="1"/>
  <c r="EK34" i="1" l="1"/>
  <c r="EK35" i="1" s="1"/>
  <c r="EL34" i="1"/>
  <c r="EL35" i="1" s="1"/>
  <c r="EM34" i="1"/>
  <c r="EM35" i="1" s="1"/>
  <c r="FA12" i="1"/>
  <c r="FA13" i="1"/>
  <c r="FB13" i="1" s="1"/>
  <c r="FA14" i="1"/>
  <c r="FA16" i="1"/>
  <c r="FA17" i="1"/>
  <c r="FB17" i="1" s="1"/>
  <c r="FA18" i="1"/>
  <c r="FB18" i="1" s="1"/>
  <c r="FA19" i="1"/>
  <c r="FB19" i="1" s="1"/>
  <c r="FA20" i="1"/>
  <c r="FA21" i="1"/>
  <c r="FB21" i="1" s="1"/>
  <c r="FA22" i="1"/>
  <c r="FA23" i="1"/>
  <c r="FB23" i="1" s="1"/>
  <c r="FA24" i="1"/>
  <c r="FA25" i="1"/>
  <c r="FB25" i="1" s="1"/>
  <c r="FA26" i="1"/>
  <c r="FB26" i="1" s="1"/>
  <c r="FA27" i="1"/>
  <c r="FB27" i="1" s="1"/>
  <c r="FA28" i="1"/>
  <c r="FB28" i="1" s="1"/>
  <c r="FA29" i="1"/>
  <c r="FA30" i="1"/>
  <c r="FB30" i="1" s="1"/>
  <c r="FA31" i="1"/>
  <c r="FB31" i="1" s="1"/>
  <c r="FA32" i="1"/>
  <c r="FA33" i="1"/>
  <c r="FB33" i="1" s="1"/>
  <c r="FA53" i="1"/>
  <c r="FB53" i="1" s="1"/>
  <c r="FA54" i="1"/>
  <c r="FA55" i="1"/>
  <c r="FA56" i="1"/>
  <c r="FA57" i="1"/>
  <c r="FB57" i="1" s="1"/>
  <c r="FA58" i="1"/>
  <c r="FB58" i="1" s="1"/>
  <c r="FA59" i="1"/>
  <c r="FB59" i="1" s="1"/>
  <c r="FA60" i="1"/>
  <c r="FD60" i="1" s="1"/>
  <c r="FA61" i="1"/>
  <c r="FD61" i="1" s="1"/>
  <c r="FA62" i="1"/>
  <c r="FD62" i="1" s="1"/>
  <c r="FA63" i="1"/>
  <c r="FD63" i="1" s="1"/>
  <c r="FA64" i="1"/>
  <c r="FD64" i="1" s="1"/>
  <c r="FA65" i="1"/>
  <c r="FA66" i="1"/>
  <c r="FD66" i="1" s="1"/>
  <c r="FA67" i="1"/>
  <c r="FA68" i="1"/>
  <c r="FA69" i="1"/>
  <c r="FD69" i="1" s="1"/>
  <c r="FA70" i="1"/>
  <c r="FD70" i="1" s="1"/>
  <c r="FA71" i="1"/>
  <c r="FA72" i="1"/>
  <c r="FD72" i="1" s="1"/>
  <c r="FA73" i="1"/>
  <c r="FA74" i="1"/>
  <c r="FB74" i="1" s="1"/>
  <c r="DU12" i="1"/>
  <c r="DV12" i="1" s="1"/>
  <c r="DU13" i="1"/>
  <c r="DU14" i="1"/>
  <c r="DU15" i="1"/>
  <c r="DU16" i="1"/>
  <c r="DV16" i="1" s="1"/>
  <c r="DU17" i="1"/>
  <c r="DU18" i="1"/>
  <c r="DV18" i="1" s="1"/>
  <c r="DU19" i="1"/>
  <c r="DU20" i="1"/>
  <c r="DV20" i="1" s="1"/>
  <c r="DU21" i="1"/>
  <c r="DU22" i="1"/>
  <c r="DU23" i="1"/>
  <c r="DV23" i="1" s="1"/>
  <c r="DU24" i="1"/>
  <c r="DU25" i="1"/>
  <c r="DU26" i="1"/>
  <c r="DU27" i="1"/>
  <c r="DU28" i="1"/>
  <c r="DV28" i="1" s="1"/>
  <c r="DU29" i="1"/>
  <c r="DU30" i="1"/>
  <c r="DV30" i="1" s="1"/>
  <c r="DU31" i="1"/>
  <c r="DU32" i="1"/>
  <c r="DV32" i="1" s="1"/>
  <c r="DU33" i="1"/>
  <c r="DV33" i="1" s="1"/>
  <c r="DU53" i="1"/>
  <c r="DU54" i="1"/>
  <c r="DU55" i="1"/>
  <c r="DU56" i="1"/>
  <c r="DU57" i="1"/>
  <c r="DV57" i="1" s="1"/>
  <c r="DU58" i="1"/>
  <c r="DU59" i="1"/>
  <c r="DU60" i="1"/>
  <c r="DU61" i="1"/>
  <c r="DU62" i="1"/>
  <c r="DU63" i="1"/>
  <c r="DU64" i="1"/>
  <c r="DU65" i="1"/>
  <c r="DU66" i="1"/>
  <c r="DU67" i="1"/>
  <c r="DU68" i="1"/>
  <c r="DU69" i="1"/>
  <c r="DU70" i="1"/>
  <c r="DU71" i="1"/>
  <c r="DU72" i="1"/>
  <c r="DU73" i="1"/>
  <c r="DU74" i="1"/>
  <c r="CW12" i="1"/>
  <c r="CW13" i="1"/>
  <c r="CX13" i="1" s="1"/>
  <c r="CW14" i="1"/>
  <c r="CW15" i="1"/>
  <c r="CX15" i="1" s="1"/>
  <c r="CW16" i="1"/>
  <c r="CW17" i="1"/>
  <c r="CW18" i="1"/>
  <c r="CW19" i="1"/>
  <c r="CX19" i="1" s="1"/>
  <c r="CW20" i="1"/>
  <c r="CW21" i="1"/>
  <c r="CW22" i="1"/>
  <c r="CX22" i="1" s="1"/>
  <c r="CW23" i="1"/>
  <c r="CX23" i="1" s="1"/>
  <c r="CW24" i="1"/>
  <c r="CW25" i="1"/>
  <c r="CX25" i="1" s="1"/>
  <c r="CW26" i="1"/>
  <c r="CW27" i="1"/>
  <c r="CX27" i="1" s="1"/>
  <c r="CW28" i="1"/>
  <c r="CW29" i="1"/>
  <c r="CX29" i="1" s="1"/>
  <c r="CW30" i="1"/>
  <c r="CX30" i="1" s="1"/>
  <c r="CW31" i="1"/>
  <c r="CX31" i="1" s="1"/>
  <c r="CW32" i="1"/>
  <c r="CW33" i="1"/>
  <c r="CX33" i="1" s="1"/>
  <c r="CW53" i="1"/>
  <c r="CW54" i="1"/>
  <c r="CW55" i="1"/>
  <c r="CW56" i="1"/>
  <c r="CW57" i="1"/>
  <c r="CX57" i="1" s="1"/>
  <c r="CW58" i="1"/>
  <c r="CW59" i="1"/>
  <c r="CW60" i="1"/>
  <c r="CW61" i="1"/>
  <c r="CX61" i="1" s="1"/>
  <c r="CW62" i="1"/>
  <c r="CX62" i="1" s="1"/>
  <c r="CW63" i="1"/>
  <c r="CW64" i="1"/>
  <c r="CW65" i="1"/>
  <c r="CW66" i="1"/>
  <c r="CX66" i="1" s="1"/>
  <c r="CW67" i="1"/>
  <c r="CW68" i="1"/>
  <c r="CW69" i="1"/>
  <c r="CW70" i="1"/>
  <c r="CX70" i="1" s="1"/>
  <c r="CW71" i="1"/>
  <c r="CW72" i="1"/>
  <c r="CW73" i="1"/>
  <c r="CW74" i="1"/>
  <c r="CX74" i="1" s="1"/>
  <c r="BY12" i="1"/>
  <c r="BY13" i="1"/>
  <c r="BY14" i="1"/>
  <c r="BZ14" i="1" s="1"/>
  <c r="BY15" i="1"/>
  <c r="BZ15" i="1" s="1"/>
  <c r="BY16" i="1"/>
  <c r="BY17" i="1"/>
  <c r="BY18" i="1"/>
  <c r="BZ18" i="1" s="1"/>
  <c r="BY19" i="1"/>
  <c r="BY20" i="1"/>
  <c r="CB20" i="1" s="1"/>
  <c r="BY21" i="1"/>
  <c r="BY22" i="1"/>
  <c r="BY23" i="1"/>
  <c r="BY24" i="1"/>
  <c r="BY25" i="1"/>
  <c r="BY26" i="1"/>
  <c r="BZ26" i="1" s="1"/>
  <c r="BY27" i="1"/>
  <c r="BY28" i="1"/>
  <c r="BY29" i="1"/>
  <c r="BY30" i="1"/>
  <c r="BZ30" i="1" s="1"/>
  <c r="BY31" i="1"/>
  <c r="BZ31" i="1" s="1"/>
  <c r="BY32" i="1"/>
  <c r="BZ32" i="1" s="1"/>
  <c r="BY33" i="1"/>
  <c r="BY53" i="1"/>
  <c r="BZ53" i="1" s="1"/>
  <c r="BY54" i="1"/>
  <c r="BZ54" i="1" s="1"/>
  <c r="BY55" i="1"/>
  <c r="BY56" i="1"/>
  <c r="BY57" i="1"/>
  <c r="BY58" i="1"/>
  <c r="BY59" i="1"/>
  <c r="BY60" i="1"/>
  <c r="BY61" i="1"/>
  <c r="BZ61" i="1" s="1"/>
  <c r="BY62" i="1"/>
  <c r="BZ62" i="1" s="1"/>
  <c r="BY63" i="1"/>
  <c r="BY64" i="1"/>
  <c r="BY65" i="1"/>
  <c r="BY66" i="1"/>
  <c r="BY67" i="1"/>
  <c r="BY68" i="1"/>
  <c r="BY69" i="1"/>
  <c r="BZ69" i="1" s="1"/>
  <c r="BY70" i="1"/>
  <c r="BY71" i="1"/>
  <c r="BY72" i="1"/>
  <c r="BY73" i="1"/>
  <c r="BY74" i="1"/>
  <c r="BZ74" i="1" s="1"/>
  <c r="I53" i="1"/>
  <c r="K53" i="1" s="1"/>
  <c r="AG53" i="1"/>
  <c r="BE53" i="1"/>
  <c r="BH53" i="1" s="1"/>
  <c r="DM34" i="1"/>
  <c r="DM35" i="1" s="1"/>
  <c r="DM76" i="1"/>
  <c r="DM77" i="1" s="1"/>
  <c r="DN34" i="1"/>
  <c r="DN35" i="1" s="1"/>
  <c r="DN76" i="1"/>
  <c r="DN77" i="1" s="1"/>
  <c r="DO34" i="1"/>
  <c r="DO35" i="1" s="1"/>
  <c r="DO76" i="1"/>
  <c r="DO77" i="1" s="1"/>
  <c r="DP34" i="1"/>
  <c r="DP35" i="1" s="1"/>
  <c r="DP76" i="1"/>
  <c r="DP77" i="1" s="1"/>
  <c r="DQ34" i="1"/>
  <c r="DQ35" i="1" s="1"/>
  <c r="DQ76" i="1"/>
  <c r="DQ77" i="1" s="1"/>
  <c r="DR34" i="1"/>
  <c r="DR35" i="1" s="1"/>
  <c r="DR76" i="1"/>
  <c r="DR77" i="1" s="1"/>
  <c r="DS34" i="1"/>
  <c r="DS35" i="1" s="1"/>
  <c r="DS76" i="1"/>
  <c r="DS77" i="1" s="1"/>
  <c r="CO34" i="1"/>
  <c r="CO35" i="1" s="1"/>
  <c r="CO76" i="1"/>
  <c r="CO77" i="1" s="1"/>
  <c r="CP34" i="1"/>
  <c r="CP35" i="1" s="1"/>
  <c r="CP76" i="1"/>
  <c r="CP77" i="1" s="1"/>
  <c r="CQ34" i="1"/>
  <c r="CQ35" i="1" s="1"/>
  <c r="CQ76" i="1"/>
  <c r="CQ77" i="1" s="1"/>
  <c r="CR34" i="1"/>
  <c r="CR35" i="1" s="1"/>
  <c r="BU34" i="1"/>
  <c r="BU76" i="1"/>
  <c r="BV34" i="1"/>
  <c r="BV76" i="1"/>
  <c r="BV77" i="1" s="1"/>
  <c r="BW34" i="1"/>
  <c r="BW35" i="1" s="1"/>
  <c r="BW76" i="1"/>
  <c r="BW77" i="1" s="1"/>
  <c r="BX34" i="1"/>
  <c r="BX35" i="1" s="1"/>
  <c r="BX76" i="1"/>
  <c r="BX77" i="1" s="1"/>
  <c r="AW34" i="1"/>
  <c r="AW76" i="1"/>
  <c r="AX34" i="1"/>
  <c r="AX76" i="1"/>
  <c r="AX77" i="1" s="1"/>
  <c r="AY34" i="1"/>
  <c r="AY76" i="1"/>
  <c r="AY77" i="1" s="1"/>
  <c r="AZ34" i="1"/>
  <c r="AZ76" i="1"/>
  <c r="AZ77" i="1" s="1"/>
  <c r="BA34" i="1"/>
  <c r="BA76" i="1"/>
  <c r="BA77" i="1" s="1"/>
  <c r="BB34" i="1"/>
  <c r="BB76" i="1"/>
  <c r="BB77" i="1" s="1"/>
  <c r="Y34" i="1"/>
  <c r="Y76" i="1"/>
  <c r="Z34" i="1"/>
  <c r="Z35" i="1" s="1"/>
  <c r="Z76" i="1"/>
  <c r="Z77" i="1" s="1"/>
  <c r="AA34" i="1"/>
  <c r="AA35" i="1" s="1"/>
  <c r="AA76" i="1"/>
  <c r="AA77" i="1" s="1"/>
  <c r="AB34" i="1"/>
  <c r="AB35" i="1" s="1"/>
  <c r="AB76" i="1"/>
  <c r="AB77" i="1" s="1"/>
  <c r="AC34" i="1"/>
  <c r="AC35" i="1" s="1"/>
  <c r="AC76" i="1"/>
  <c r="AC77" i="1" s="1"/>
  <c r="AD34" i="1"/>
  <c r="AD35" i="1" s="1"/>
  <c r="AD76" i="1"/>
  <c r="AD77" i="1" s="1"/>
  <c r="I12" i="1"/>
  <c r="K12" i="1" s="1"/>
  <c r="I13" i="1"/>
  <c r="I14" i="1"/>
  <c r="K14" i="1" s="1"/>
  <c r="I15" i="1"/>
  <c r="K15" i="1" s="1"/>
  <c r="I16" i="1"/>
  <c r="K16" i="1" s="1"/>
  <c r="I17" i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I31" i="1"/>
  <c r="K31" i="1" s="1"/>
  <c r="I32" i="1"/>
  <c r="K32" i="1" s="1"/>
  <c r="I33" i="1"/>
  <c r="I54" i="1"/>
  <c r="I55" i="1"/>
  <c r="K55" i="1" s="1"/>
  <c r="I56" i="1"/>
  <c r="K56" i="1" s="1"/>
  <c r="I57" i="1"/>
  <c r="I58" i="1"/>
  <c r="I59" i="1"/>
  <c r="I60" i="1"/>
  <c r="I61" i="1"/>
  <c r="I62" i="1"/>
  <c r="I63" i="1"/>
  <c r="K63" i="1" s="1"/>
  <c r="I64" i="1"/>
  <c r="I65" i="1"/>
  <c r="I66" i="1"/>
  <c r="I67" i="1"/>
  <c r="I68" i="1"/>
  <c r="I69" i="1"/>
  <c r="I70" i="1"/>
  <c r="K70" i="1" s="1"/>
  <c r="I71" i="1"/>
  <c r="I72" i="1"/>
  <c r="K72" i="1" s="1"/>
  <c r="I73" i="1"/>
  <c r="I74" i="1"/>
  <c r="K74" i="1" s="1"/>
  <c r="AG13" i="1"/>
  <c r="BE13" i="1"/>
  <c r="AG14" i="1"/>
  <c r="BE14" i="1"/>
  <c r="AG15" i="1"/>
  <c r="BE15" i="1"/>
  <c r="FB15" i="1"/>
  <c r="AG16" i="1"/>
  <c r="AH16" i="1" s="1"/>
  <c r="BE16" i="1"/>
  <c r="BG16" i="1" s="1"/>
  <c r="AG17" i="1"/>
  <c r="AH17" i="1" s="1"/>
  <c r="BE17" i="1"/>
  <c r="AG18" i="1"/>
  <c r="AH18" i="1" s="1"/>
  <c r="BE18" i="1"/>
  <c r="FB20" i="1"/>
  <c r="AG20" i="1"/>
  <c r="AH20" i="1" s="1"/>
  <c r="BE20" i="1"/>
  <c r="AG21" i="1"/>
  <c r="BE21" i="1"/>
  <c r="FB22" i="1"/>
  <c r="AG22" i="1"/>
  <c r="BE22" i="1"/>
  <c r="FB24" i="1"/>
  <c r="AG24" i="1"/>
  <c r="AH24" i="1" s="1"/>
  <c r="BE24" i="1"/>
  <c r="BG24" i="1" s="1"/>
  <c r="AG25" i="1"/>
  <c r="BE25" i="1"/>
  <c r="AG26" i="1"/>
  <c r="AH26" i="1" s="1"/>
  <c r="BE26" i="1"/>
  <c r="AG27" i="1"/>
  <c r="AH27" i="1" s="1"/>
  <c r="BE27" i="1"/>
  <c r="BG27" i="1" s="1"/>
  <c r="AG28" i="1"/>
  <c r="BE28" i="1"/>
  <c r="AG29" i="1"/>
  <c r="AH29" i="1" s="1"/>
  <c r="BE29" i="1"/>
  <c r="AG30" i="1"/>
  <c r="BE30" i="1"/>
  <c r="FB32" i="1"/>
  <c r="AG32" i="1"/>
  <c r="BE32" i="1"/>
  <c r="AG33" i="1"/>
  <c r="AH33" i="1" s="1"/>
  <c r="BE33" i="1"/>
  <c r="AG12" i="1"/>
  <c r="AH12" i="1" s="1"/>
  <c r="BE12" i="1"/>
  <c r="AG19" i="1"/>
  <c r="AH19" i="1" s="1"/>
  <c r="BE19" i="1"/>
  <c r="AG23" i="1"/>
  <c r="AH23" i="1" s="1"/>
  <c r="BE23" i="1"/>
  <c r="AG31" i="1"/>
  <c r="BE31" i="1"/>
  <c r="AG54" i="1"/>
  <c r="AJ54" i="1" s="1"/>
  <c r="BE54" i="1"/>
  <c r="BH54" i="1" s="1"/>
  <c r="AG55" i="1"/>
  <c r="AJ55" i="1" s="1"/>
  <c r="BE55" i="1"/>
  <c r="BH55" i="1" s="1"/>
  <c r="AG56" i="1"/>
  <c r="BE56" i="1"/>
  <c r="BH56" i="1" s="1"/>
  <c r="AG57" i="1"/>
  <c r="AH57" i="1" s="1"/>
  <c r="BE57" i="1"/>
  <c r="BH57" i="1" s="1"/>
  <c r="AG58" i="1"/>
  <c r="AJ58" i="1" s="1"/>
  <c r="BE58" i="1"/>
  <c r="BH58" i="1" s="1"/>
  <c r="AG59" i="1"/>
  <c r="AJ59" i="1" s="1"/>
  <c r="BE59" i="1"/>
  <c r="BH59" i="1" s="1"/>
  <c r="AG60" i="1"/>
  <c r="BE60" i="1"/>
  <c r="BH60" i="1" s="1"/>
  <c r="AG61" i="1"/>
  <c r="AH61" i="1" s="1"/>
  <c r="BE61" i="1"/>
  <c r="BH61" i="1" s="1"/>
  <c r="AG62" i="1"/>
  <c r="AJ62" i="1" s="1"/>
  <c r="BE62" i="1"/>
  <c r="BH62" i="1" s="1"/>
  <c r="AG63" i="1"/>
  <c r="AJ63" i="1" s="1"/>
  <c r="BE63" i="1"/>
  <c r="BH63" i="1" s="1"/>
  <c r="AG64" i="1"/>
  <c r="AJ64" i="1" s="1"/>
  <c r="BE64" i="1"/>
  <c r="BH64" i="1" s="1"/>
  <c r="AG65" i="1"/>
  <c r="AH65" i="1" s="1"/>
  <c r="BE65" i="1"/>
  <c r="BH65" i="1" s="1"/>
  <c r="AG66" i="1"/>
  <c r="AH66" i="1" s="1"/>
  <c r="BE66" i="1"/>
  <c r="BH66" i="1" s="1"/>
  <c r="AG67" i="1"/>
  <c r="BE67" i="1"/>
  <c r="BH67" i="1" s="1"/>
  <c r="AG68" i="1"/>
  <c r="AH68" i="1" s="1"/>
  <c r="BE68" i="1"/>
  <c r="BH68" i="1" s="1"/>
  <c r="AG69" i="1"/>
  <c r="AH69" i="1" s="1"/>
  <c r="BE69" i="1"/>
  <c r="BH69" i="1" s="1"/>
  <c r="AG70" i="1"/>
  <c r="AH70" i="1" s="1"/>
  <c r="BE70" i="1"/>
  <c r="BH70" i="1" s="1"/>
  <c r="AG71" i="1"/>
  <c r="BE71" i="1"/>
  <c r="BH71" i="1" s="1"/>
  <c r="AG72" i="1"/>
  <c r="AJ72" i="1" s="1"/>
  <c r="BE72" i="1"/>
  <c r="BH72" i="1" s="1"/>
  <c r="AG73" i="1"/>
  <c r="BE73" i="1"/>
  <c r="BH73" i="1" s="1"/>
  <c r="AG74" i="1"/>
  <c r="AH74" i="1" s="1"/>
  <c r="BE74" i="1"/>
  <c r="BH74" i="1" s="1"/>
  <c r="DV73" i="1"/>
  <c r="DV65" i="1"/>
  <c r="DV53" i="1"/>
  <c r="DV31" i="1"/>
  <c r="DV26" i="1"/>
  <c r="DV19" i="1"/>
  <c r="DV14" i="1"/>
  <c r="CX72" i="1"/>
  <c r="CX67" i="1"/>
  <c r="CX55" i="1"/>
  <c r="FO53" i="1"/>
  <c r="FB29" i="1"/>
  <c r="DV54" i="1"/>
  <c r="DV74" i="1"/>
  <c r="DV24" i="1"/>
  <c r="CX73" i="1"/>
  <c r="G6" i="8"/>
  <c r="FO54" i="1"/>
  <c r="FO55" i="1"/>
  <c r="FO56" i="1"/>
  <c r="FO57" i="1"/>
  <c r="FO58" i="1"/>
  <c r="FO59" i="1"/>
  <c r="FO60" i="1"/>
  <c r="FO61" i="1"/>
  <c r="FO62" i="1"/>
  <c r="FO63" i="1"/>
  <c r="FO64" i="1"/>
  <c r="FO65" i="1"/>
  <c r="FO66" i="1"/>
  <c r="FO67" i="1"/>
  <c r="FO68" i="1"/>
  <c r="FO69" i="1"/>
  <c r="FO70" i="1"/>
  <c r="FO71" i="1"/>
  <c r="FO72" i="1"/>
  <c r="FO73" i="1"/>
  <c r="FO74" i="1"/>
  <c r="F76" i="1"/>
  <c r="G76" i="1"/>
  <c r="H76" i="1"/>
  <c r="CX21" i="1"/>
  <c r="CX12" i="1"/>
  <c r="BZ19" i="1"/>
  <c r="BZ23" i="1"/>
  <c r="BZ27" i="1"/>
  <c r="BZ22" i="1"/>
  <c r="E35" i="1"/>
  <c r="F35" i="1"/>
  <c r="G35" i="1"/>
  <c r="H35" i="1"/>
  <c r="BZ71" i="1"/>
  <c r="FB67" i="1"/>
  <c r="BZ66" i="1"/>
  <c r="BZ73" i="1"/>
  <c r="BZ58" i="1"/>
  <c r="BZ57" i="1"/>
  <c r="BZ65" i="1"/>
  <c r="BZ70" i="1"/>
  <c r="J22" i="1"/>
  <c r="J72" i="1" l="1"/>
  <c r="H77" i="1"/>
  <c r="G12" i="8"/>
  <c r="G77" i="1"/>
  <c r="G10" i="8"/>
  <c r="F77" i="1"/>
  <c r="G8" i="8"/>
  <c r="X6" i="8"/>
  <c r="Q6" i="8"/>
  <c r="U6" i="8" s="1"/>
  <c r="BZ20" i="1"/>
  <c r="BV35" i="1"/>
  <c r="X8" i="8"/>
  <c r="BB35" i="1"/>
  <c r="Q16" i="8"/>
  <c r="U16" i="8" s="1"/>
  <c r="BA35" i="1"/>
  <c r="Q14" i="8"/>
  <c r="U14" i="8" s="1"/>
  <c r="AZ35" i="1"/>
  <c r="Q12" i="8"/>
  <c r="U12" i="8" s="1"/>
  <c r="AY35" i="1"/>
  <c r="Q10" i="8"/>
  <c r="U10" i="8" s="1"/>
  <c r="AX35" i="1"/>
  <c r="Q8" i="8"/>
  <c r="U8" i="8" s="1"/>
  <c r="FB72" i="1"/>
  <c r="BF70" i="1"/>
  <c r="E77" i="1"/>
  <c r="H79" i="1"/>
  <c r="BH29" i="1"/>
  <c r="BG29" i="1"/>
  <c r="BJ29" i="1" s="1"/>
  <c r="BH25" i="1"/>
  <c r="BG25" i="1"/>
  <c r="BJ25" i="1" s="1"/>
  <c r="BH21" i="1"/>
  <c r="BG21" i="1"/>
  <c r="BH15" i="1"/>
  <c r="BG15" i="1"/>
  <c r="BJ15" i="1" s="1"/>
  <c r="BH13" i="1"/>
  <c r="BG13" i="1"/>
  <c r="BJ13" i="1" s="1"/>
  <c r="CA71" i="1"/>
  <c r="CD71" i="1" s="1"/>
  <c r="CB71" i="1"/>
  <c r="CA67" i="1"/>
  <c r="CD67" i="1" s="1"/>
  <c r="CB67" i="1"/>
  <c r="CA63" i="1"/>
  <c r="CD63" i="1" s="1"/>
  <c r="CB63" i="1"/>
  <c r="CA59" i="1"/>
  <c r="CD59" i="1" s="1"/>
  <c r="CB59" i="1"/>
  <c r="CA55" i="1"/>
  <c r="CD55" i="1" s="1"/>
  <c r="CB55" i="1"/>
  <c r="CA32" i="1"/>
  <c r="CD32" i="1" s="1"/>
  <c r="CB32" i="1"/>
  <c r="CA28" i="1"/>
  <c r="CD28" i="1" s="1"/>
  <c r="CB28" i="1"/>
  <c r="BZ24" i="1"/>
  <c r="CB24" i="1"/>
  <c r="BZ16" i="1"/>
  <c r="CB16" i="1"/>
  <c r="CA12" i="1"/>
  <c r="CD12" i="1" s="1"/>
  <c r="CB12" i="1"/>
  <c r="BH31" i="1"/>
  <c r="BG31" i="1"/>
  <c r="BJ31" i="1" s="1"/>
  <c r="BH19" i="1"/>
  <c r="BG19" i="1"/>
  <c r="BH33" i="1"/>
  <c r="BG33" i="1"/>
  <c r="BJ33" i="1" s="1"/>
  <c r="BH22" i="1"/>
  <c r="BG22" i="1"/>
  <c r="BJ22" i="1" s="1"/>
  <c r="BH18" i="1"/>
  <c r="BG18" i="1"/>
  <c r="BJ18" i="1" s="1"/>
  <c r="CA74" i="1"/>
  <c r="CD74" i="1" s="1"/>
  <c r="CB74" i="1"/>
  <c r="CA70" i="1"/>
  <c r="CD70" i="1" s="1"/>
  <c r="CB70" i="1"/>
  <c r="CA66" i="1"/>
  <c r="CD66" i="1" s="1"/>
  <c r="CB66" i="1"/>
  <c r="CA62" i="1"/>
  <c r="CD62" i="1" s="1"/>
  <c r="CB62" i="1"/>
  <c r="CA58" i="1"/>
  <c r="CD58" i="1" s="1"/>
  <c r="CB58" i="1"/>
  <c r="CA54" i="1"/>
  <c r="CD54" i="1" s="1"/>
  <c r="CB54" i="1"/>
  <c r="CA31" i="1"/>
  <c r="CD31" i="1" s="1"/>
  <c r="CB31" i="1"/>
  <c r="CA27" i="1"/>
  <c r="CD27" i="1" s="1"/>
  <c r="CB27" i="1"/>
  <c r="CA23" i="1"/>
  <c r="CD23" i="1" s="1"/>
  <c r="CB23" i="1"/>
  <c r="CA19" i="1"/>
  <c r="CD19" i="1" s="1"/>
  <c r="CB19" i="1"/>
  <c r="CA15" i="1"/>
  <c r="CD15" i="1" s="1"/>
  <c r="CB15" i="1"/>
  <c r="BH30" i="1"/>
  <c r="BG30" i="1"/>
  <c r="BJ30" i="1" s="1"/>
  <c r="BH28" i="1"/>
  <c r="BG28" i="1"/>
  <c r="BH26" i="1"/>
  <c r="BG26" i="1"/>
  <c r="BJ26" i="1" s="1"/>
  <c r="BH20" i="1"/>
  <c r="BG20" i="1"/>
  <c r="BJ20" i="1" s="1"/>
  <c r="BH14" i="1"/>
  <c r="BG14" i="1"/>
  <c r="BJ14" i="1" s="1"/>
  <c r="CA73" i="1"/>
  <c r="CD73" i="1" s="1"/>
  <c r="CB73" i="1"/>
  <c r="CA69" i="1"/>
  <c r="CD69" i="1" s="1"/>
  <c r="CB69" i="1"/>
  <c r="CA65" i="1"/>
  <c r="CD65" i="1" s="1"/>
  <c r="CB65" i="1"/>
  <c r="CA61" i="1"/>
  <c r="CD61" i="1" s="1"/>
  <c r="CB61" i="1"/>
  <c r="CA57" i="1"/>
  <c r="CD57" i="1" s="1"/>
  <c r="CB57" i="1"/>
  <c r="CA53" i="1"/>
  <c r="CD53" i="1" s="1"/>
  <c r="CB53" i="1"/>
  <c r="CA30" i="1"/>
  <c r="CD30" i="1" s="1"/>
  <c r="CB30" i="1"/>
  <c r="CA26" i="1"/>
  <c r="CD26" i="1" s="1"/>
  <c r="CB26" i="1"/>
  <c r="CA22" i="1"/>
  <c r="CD22" i="1" s="1"/>
  <c r="CB22" i="1"/>
  <c r="CA18" i="1"/>
  <c r="CD18" i="1" s="1"/>
  <c r="CB18" i="1"/>
  <c r="CA14" i="1"/>
  <c r="CD14" i="1" s="1"/>
  <c r="CB14" i="1"/>
  <c r="BH23" i="1"/>
  <c r="BG23" i="1"/>
  <c r="BJ23" i="1" s="1"/>
  <c r="BH12" i="1"/>
  <c r="BG12" i="1"/>
  <c r="BH32" i="1"/>
  <c r="BG32" i="1"/>
  <c r="BJ32" i="1" s="1"/>
  <c r="BH17" i="1"/>
  <c r="BG17" i="1"/>
  <c r="BJ17" i="1" s="1"/>
  <c r="Y77" i="1"/>
  <c r="AF79" i="1"/>
  <c r="AW77" i="1"/>
  <c r="BB79" i="1"/>
  <c r="BU77" i="1"/>
  <c r="BW79" i="1"/>
  <c r="CA72" i="1"/>
  <c r="CD72" i="1" s="1"/>
  <c r="CB72" i="1"/>
  <c r="CA68" i="1"/>
  <c r="CD68" i="1" s="1"/>
  <c r="CB68" i="1"/>
  <c r="CA64" i="1"/>
  <c r="CD64" i="1" s="1"/>
  <c r="CB64" i="1"/>
  <c r="CA60" i="1"/>
  <c r="CD60" i="1" s="1"/>
  <c r="CB60" i="1"/>
  <c r="CA56" i="1"/>
  <c r="CD56" i="1" s="1"/>
  <c r="CB56" i="1"/>
  <c r="CA33" i="1"/>
  <c r="CD33" i="1" s="1"/>
  <c r="CB33" i="1"/>
  <c r="CA29" i="1"/>
  <c r="CD29" i="1" s="1"/>
  <c r="CB29" i="1"/>
  <c r="CA25" i="1"/>
  <c r="CD25" i="1" s="1"/>
  <c r="CB25" i="1"/>
  <c r="CA21" i="1"/>
  <c r="CD21" i="1" s="1"/>
  <c r="CB21" i="1"/>
  <c r="CA17" i="1"/>
  <c r="CD17" i="1" s="1"/>
  <c r="CB17" i="1"/>
  <c r="CA13" i="1"/>
  <c r="CD13" i="1" s="1"/>
  <c r="CB13" i="1"/>
  <c r="Y35" i="1"/>
  <c r="AF37" i="1"/>
  <c r="AF38" i="1" s="1"/>
  <c r="AW35" i="1"/>
  <c r="BD37" i="1"/>
  <c r="BD38" i="1" s="1"/>
  <c r="BU35" i="1"/>
  <c r="BW37" i="1"/>
  <c r="BW38" i="1" s="1"/>
  <c r="BF20" i="1"/>
  <c r="BF31" i="1"/>
  <c r="BZ59" i="1"/>
  <c r="BG59" i="1"/>
  <c r="BJ59" i="1" s="1"/>
  <c r="BF33" i="1"/>
  <c r="BF29" i="1"/>
  <c r="BZ67" i="1"/>
  <c r="BF69" i="1"/>
  <c r="BF30" i="1"/>
  <c r="J31" i="1"/>
  <c r="BZ63" i="1"/>
  <c r="BZ55" i="1"/>
  <c r="BZ28" i="1"/>
  <c r="BZ12" i="1"/>
  <c r="BF26" i="1"/>
  <c r="BF53" i="1"/>
  <c r="J23" i="1"/>
  <c r="J63" i="1"/>
  <c r="BF65" i="1"/>
  <c r="BG65" i="1"/>
  <c r="BJ65" i="1" s="1"/>
  <c r="J19" i="1"/>
  <c r="BZ60" i="1"/>
  <c r="BF68" i="1"/>
  <c r="J54" i="1"/>
  <c r="K54" i="1"/>
  <c r="N54" i="1" s="1"/>
  <c r="R54" i="1" s="1"/>
  <c r="L73" i="1"/>
  <c r="P73" i="1" s="1"/>
  <c r="K73" i="1"/>
  <c r="N73" i="1" s="1"/>
  <c r="R73" i="1" s="1"/>
  <c r="J69" i="1"/>
  <c r="K69" i="1"/>
  <c r="N69" i="1" s="1"/>
  <c r="J65" i="1"/>
  <c r="K65" i="1"/>
  <c r="N65" i="1" s="1"/>
  <c r="J61" i="1"/>
  <c r="K61" i="1"/>
  <c r="N61" i="1" s="1"/>
  <c r="J57" i="1"/>
  <c r="K57" i="1"/>
  <c r="N57" i="1" s="1"/>
  <c r="R57" i="1" s="1"/>
  <c r="J66" i="1"/>
  <c r="K66" i="1"/>
  <c r="N66" i="1" s="1"/>
  <c r="R66" i="1" s="1"/>
  <c r="J58" i="1"/>
  <c r="K58" i="1"/>
  <c r="N58" i="1" s="1"/>
  <c r="R58" i="1" s="1"/>
  <c r="BZ33" i="1"/>
  <c r="J68" i="1"/>
  <c r="K68" i="1"/>
  <c r="N68" i="1" s="1"/>
  <c r="R68" i="1" s="1"/>
  <c r="J64" i="1"/>
  <c r="K64" i="1"/>
  <c r="N64" i="1" s="1"/>
  <c r="R64" i="1" s="1"/>
  <c r="J60" i="1"/>
  <c r="K60" i="1"/>
  <c r="N60" i="1" s="1"/>
  <c r="R60" i="1" s="1"/>
  <c r="L62" i="1"/>
  <c r="P62" i="1" s="1"/>
  <c r="K62" i="1"/>
  <c r="N62" i="1" s="1"/>
  <c r="R62" i="1" s="1"/>
  <c r="BZ17" i="1"/>
  <c r="BJ21" i="1"/>
  <c r="J71" i="1"/>
  <c r="K71" i="1"/>
  <c r="N71" i="1" s="1"/>
  <c r="J67" i="1"/>
  <c r="K67" i="1"/>
  <c r="N67" i="1" s="1"/>
  <c r="R67" i="1" s="1"/>
  <c r="L59" i="1"/>
  <c r="P59" i="1" s="1"/>
  <c r="K59" i="1"/>
  <c r="N59" i="1" s="1"/>
  <c r="J33" i="1"/>
  <c r="K33" i="1"/>
  <c r="N33" i="1" s="1"/>
  <c r="J30" i="1"/>
  <c r="K30" i="1"/>
  <c r="N30" i="1" s="1"/>
  <c r="J20" i="1"/>
  <c r="J17" i="1"/>
  <c r="K17" i="1"/>
  <c r="N17" i="1" s="1"/>
  <c r="R17" i="1" s="1"/>
  <c r="J15" i="1"/>
  <c r="J13" i="1"/>
  <c r="K13" i="1"/>
  <c r="N13" i="1" s="1"/>
  <c r="R13" i="1" s="1"/>
  <c r="AH72" i="1"/>
  <c r="BF14" i="1"/>
  <c r="BF18" i="1"/>
  <c r="BZ56" i="1"/>
  <c r="BZ29" i="1"/>
  <c r="BZ13" i="1"/>
  <c r="BG66" i="1"/>
  <c r="BJ66" i="1" s="1"/>
  <c r="BZ25" i="1"/>
  <c r="BZ68" i="1"/>
  <c r="BZ64" i="1"/>
  <c r="BZ72" i="1"/>
  <c r="BZ21" i="1"/>
  <c r="BF55" i="1"/>
  <c r="BG55" i="1"/>
  <c r="BJ55" i="1" s="1"/>
  <c r="BG71" i="1"/>
  <c r="BJ71" i="1" s="1"/>
  <c r="BG53" i="1"/>
  <c r="BJ53" i="1" s="1"/>
  <c r="CA24" i="1"/>
  <c r="CD24" i="1" s="1"/>
  <c r="CA20" i="1"/>
  <c r="CD20" i="1" s="1"/>
  <c r="CA16" i="1"/>
  <c r="CD16" i="1" s="1"/>
  <c r="BG56" i="1"/>
  <c r="BJ56" i="1" s="1"/>
  <c r="AH63" i="1"/>
  <c r="BF56" i="1"/>
  <c r="BG68" i="1"/>
  <c r="BJ68" i="1" s="1"/>
  <c r="BF19" i="1"/>
  <c r="BG70" i="1"/>
  <c r="BJ70" i="1" s="1"/>
  <c r="BG54" i="1"/>
  <c r="BJ54" i="1" s="1"/>
  <c r="BJ19" i="1"/>
  <c r="BG57" i="1"/>
  <c r="BJ57" i="1" s="1"/>
  <c r="AI74" i="1"/>
  <c r="AL74" i="1" s="1"/>
  <c r="AJ74" i="1"/>
  <c r="AJ70" i="1"/>
  <c r="AI70" i="1"/>
  <c r="AL70" i="1" s="1"/>
  <c r="AJ68" i="1"/>
  <c r="AI68" i="1"/>
  <c r="AL68" i="1" s="1"/>
  <c r="AJ66" i="1"/>
  <c r="AI66" i="1"/>
  <c r="AL66" i="1" s="1"/>
  <c r="AH60" i="1"/>
  <c r="AJ60" i="1"/>
  <c r="AH56" i="1"/>
  <c r="AJ56" i="1"/>
  <c r="AI56" i="1"/>
  <c r="AL56" i="1" s="1"/>
  <c r="L71" i="1"/>
  <c r="P71" i="1" s="1"/>
  <c r="L69" i="1"/>
  <c r="P69" i="1" s="1"/>
  <c r="L67" i="1"/>
  <c r="P67" i="1" s="1"/>
  <c r="L65" i="1"/>
  <c r="P65" i="1" s="1"/>
  <c r="L63" i="1"/>
  <c r="P63" i="1" s="1"/>
  <c r="AN63" i="1" s="1"/>
  <c r="BL63" i="1" s="1"/>
  <c r="CF63" i="1" s="1"/>
  <c r="N63" i="1"/>
  <c r="L61" i="1"/>
  <c r="P61" i="1" s="1"/>
  <c r="L57" i="1"/>
  <c r="P57" i="1" s="1"/>
  <c r="L55" i="1"/>
  <c r="P55" i="1" s="1"/>
  <c r="AN55" i="1" s="1"/>
  <c r="BL55" i="1" s="1"/>
  <c r="CF55" i="1" s="1"/>
  <c r="N55" i="1"/>
  <c r="R55" i="1" s="1"/>
  <c r="AJ53" i="1"/>
  <c r="AI53" i="1"/>
  <c r="AL53" i="1" s="1"/>
  <c r="CZ74" i="1"/>
  <c r="CY74" i="1"/>
  <c r="DB74" i="1" s="1"/>
  <c r="CY70" i="1"/>
  <c r="DB70" i="1" s="1"/>
  <c r="CZ70" i="1"/>
  <c r="CY68" i="1"/>
  <c r="DB68" i="1" s="1"/>
  <c r="CZ68" i="1"/>
  <c r="CY66" i="1"/>
  <c r="DB66" i="1" s="1"/>
  <c r="CZ66" i="1"/>
  <c r="CY60" i="1"/>
  <c r="DB60" i="1" s="1"/>
  <c r="CZ60" i="1"/>
  <c r="CY58" i="1"/>
  <c r="DB58" i="1" s="1"/>
  <c r="CZ58" i="1"/>
  <c r="CY56" i="1"/>
  <c r="DB56" i="1" s="1"/>
  <c r="CZ56" i="1"/>
  <c r="CY54" i="1"/>
  <c r="DB54" i="1" s="1"/>
  <c r="CZ54" i="1"/>
  <c r="DX73" i="1"/>
  <c r="DW73" i="1"/>
  <c r="DZ73" i="1" s="1"/>
  <c r="DX71" i="1"/>
  <c r="DW71" i="1"/>
  <c r="DZ71" i="1" s="1"/>
  <c r="DX69" i="1"/>
  <c r="DW69" i="1"/>
  <c r="DZ69" i="1" s="1"/>
  <c r="DX67" i="1"/>
  <c r="DW67" i="1"/>
  <c r="DZ67" i="1" s="1"/>
  <c r="DX65" i="1"/>
  <c r="DW65" i="1"/>
  <c r="DZ65" i="1" s="1"/>
  <c r="DX59" i="1"/>
  <c r="DW59" i="1"/>
  <c r="DZ59" i="1" s="1"/>
  <c r="DX57" i="1"/>
  <c r="DW57" i="1"/>
  <c r="DZ57" i="1" s="1"/>
  <c r="DX55" i="1"/>
  <c r="DW55" i="1"/>
  <c r="DZ55" i="1" s="1"/>
  <c r="DX53" i="1"/>
  <c r="DW53" i="1"/>
  <c r="DZ53" i="1" s="1"/>
  <c r="FD74" i="1"/>
  <c r="FC74" i="1"/>
  <c r="FF74" i="1" s="1"/>
  <c r="FD68" i="1"/>
  <c r="FC68" i="1"/>
  <c r="FF68" i="1" s="1"/>
  <c r="FD58" i="1"/>
  <c r="FC58" i="1"/>
  <c r="FF58" i="1" s="1"/>
  <c r="FD56" i="1"/>
  <c r="FC56" i="1"/>
  <c r="FF56" i="1" s="1"/>
  <c r="FD54" i="1"/>
  <c r="FC54" i="1"/>
  <c r="FF54" i="1" s="1"/>
  <c r="AJ73" i="1"/>
  <c r="AI73" i="1"/>
  <c r="AL73" i="1" s="1"/>
  <c r="AI71" i="1"/>
  <c r="AL71" i="1" s="1"/>
  <c r="AJ71" i="1"/>
  <c r="AI69" i="1"/>
  <c r="AL69" i="1" s="1"/>
  <c r="AJ69" i="1"/>
  <c r="AI67" i="1"/>
  <c r="AL67" i="1" s="1"/>
  <c r="AJ67" i="1"/>
  <c r="AI65" i="1"/>
  <c r="AL65" i="1" s="1"/>
  <c r="AJ65" i="1"/>
  <c r="AJ61" i="1"/>
  <c r="AI61" i="1"/>
  <c r="AL61" i="1" s="1"/>
  <c r="AI57" i="1"/>
  <c r="AL57" i="1" s="1"/>
  <c r="AJ57" i="1"/>
  <c r="L74" i="1"/>
  <c r="P74" i="1" s="1"/>
  <c r="N74" i="1"/>
  <c r="R74" i="1" s="1"/>
  <c r="N72" i="1"/>
  <c r="R72" i="1" s="1"/>
  <c r="L72" i="1"/>
  <c r="P72" i="1" s="1"/>
  <c r="AN72" i="1" s="1"/>
  <c r="BL72" i="1" s="1"/>
  <c r="CF72" i="1" s="1"/>
  <c r="N70" i="1"/>
  <c r="L70" i="1"/>
  <c r="P70" i="1" s="1"/>
  <c r="L68" i="1"/>
  <c r="P68" i="1" s="1"/>
  <c r="L66" i="1"/>
  <c r="P66" i="1" s="1"/>
  <c r="L64" i="1"/>
  <c r="P64" i="1" s="1"/>
  <c r="AN64" i="1" s="1"/>
  <c r="BL64" i="1" s="1"/>
  <c r="CF64" i="1" s="1"/>
  <c r="L60" i="1"/>
  <c r="P60" i="1" s="1"/>
  <c r="L58" i="1"/>
  <c r="P58" i="1" s="1"/>
  <c r="AN58" i="1" s="1"/>
  <c r="BL58" i="1" s="1"/>
  <c r="CF58" i="1" s="1"/>
  <c r="N56" i="1"/>
  <c r="L56" i="1"/>
  <c r="P56" i="1" s="1"/>
  <c r="L54" i="1"/>
  <c r="P54" i="1" s="1"/>
  <c r="AN54" i="1" s="1"/>
  <c r="BL54" i="1" s="1"/>
  <c r="CF54" i="1" s="1"/>
  <c r="L53" i="1"/>
  <c r="P53" i="1" s="1"/>
  <c r="N53" i="1"/>
  <c r="CY73" i="1"/>
  <c r="DB73" i="1" s="1"/>
  <c r="CZ73" i="1"/>
  <c r="CZ71" i="1"/>
  <c r="CY71" i="1"/>
  <c r="DB71" i="1" s="1"/>
  <c r="CZ69" i="1"/>
  <c r="CY69" i="1"/>
  <c r="DB69" i="1" s="1"/>
  <c r="CZ67" i="1"/>
  <c r="CY67" i="1"/>
  <c r="DB67" i="1" s="1"/>
  <c r="CZ65" i="1"/>
  <c r="CY65" i="1"/>
  <c r="DB65" i="1" s="1"/>
  <c r="CZ59" i="1"/>
  <c r="CY59" i="1"/>
  <c r="DB59" i="1" s="1"/>
  <c r="CZ57" i="1"/>
  <c r="CY57" i="1"/>
  <c r="DB57" i="1" s="1"/>
  <c r="CZ55" i="1"/>
  <c r="CY55" i="1"/>
  <c r="DB55" i="1" s="1"/>
  <c r="CY53" i="1"/>
  <c r="DB53" i="1" s="1"/>
  <c r="CZ53" i="1"/>
  <c r="DX74" i="1"/>
  <c r="DW74" i="1"/>
  <c r="DZ74" i="1" s="1"/>
  <c r="DX68" i="1"/>
  <c r="DW68" i="1"/>
  <c r="DZ68" i="1" s="1"/>
  <c r="DX58" i="1"/>
  <c r="DW58" i="1"/>
  <c r="DZ58" i="1" s="1"/>
  <c r="DX56" i="1"/>
  <c r="DW56" i="1"/>
  <c r="DZ56" i="1" s="1"/>
  <c r="DX54" i="1"/>
  <c r="DW54" i="1"/>
  <c r="DZ54" i="1" s="1"/>
  <c r="FD73" i="1"/>
  <c r="FC73" i="1"/>
  <c r="FF73" i="1" s="1"/>
  <c r="FD71" i="1"/>
  <c r="FC71" i="1"/>
  <c r="FF71" i="1" s="1"/>
  <c r="FD67" i="1"/>
  <c r="FC67" i="1"/>
  <c r="FF67" i="1" s="1"/>
  <c r="FD65" i="1"/>
  <c r="FC65" i="1"/>
  <c r="FF65" i="1" s="1"/>
  <c r="FD59" i="1"/>
  <c r="FC59" i="1"/>
  <c r="FF59" i="1" s="1"/>
  <c r="FD57" i="1"/>
  <c r="FC57" i="1"/>
  <c r="FF57" i="1" s="1"/>
  <c r="FD55" i="1"/>
  <c r="FC55" i="1"/>
  <c r="FF55" i="1" s="1"/>
  <c r="FD53" i="1"/>
  <c r="FC53" i="1"/>
  <c r="FF53" i="1" s="1"/>
  <c r="FC72" i="1"/>
  <c r="FF72" i="1" s="1"/>
  <c r="DW72" i="1"/>
  <c r="DZ72" i="1" s="1"/>
  <c r="DX72" i="1"/>
  <c r="DV72" i="1"/>
  <c r="CZ72" i="1"/>
  <c r="CY72" i="1"/>
  <c r="DB72" i="1" s="1"/>
  <c r="FC70" i="1"/>
  <c r="FF70" i="1" s="1"/>
  <c r="DX70" i="1"/>
  <c r="DW70" i="1"/>
  <c r="DZ70" i="1" s="1"/>
  <c r="FC66" i="1"/>
  <c r="FF66" i="1" s="1"/>
  <c r="DW66" i="1"/>
  <c r="DZ66" i="1" s="1"/>
  <c r="DX66" i="1"/>
  <c r="FC64" i="1"/>
  <c r="FF64" i="1" s="1"/>
  <c r="DX64" i="1"/>
  <c r="DW64" i="1"/>
  <c r="DZ64" i="1" s="1"/>
  <c r="CZ64" i="1"/>
  <c r="CY64" i="1"/>
  <c r="DB64" i="1" s="1"/>
  <c r="BF64" i="1"/>
  <c r="BG64" i="1"/>
  <c r="BJ64" i="1" s="1"/>
  <c r="FC62" i="1"/>
  <c r="FF62" i="1" s="1"/>
  <c r="DX62" i="1"/>
  <c r="DW62" i="1"/>
  <c r="DZ62" i="1" s="1"/>
  <c r="CZ62" i="1"/>
  <c r="CY62" i="1"/>
  <c r="DB62" i="1" s="1"/>
  <c r="FC61" i="1"/>
  <c r="FF61" i="1" s="1"/>
  <c r="DX61" i="1"/>
  <c r="DW61" i="1"/>
  <c r="DZ61" i="1" s="1"/>
  <c r="CZ61" i="1"/>
  <c r="CY61" i="1"/>
  <c r="DB61" i="1" s="1"/>
  <c r="FC60" i="1"/>
  <c r="FF60" i="1" s="1"/>
  <c r="DX60" i="1"/>
  <c r="DW60" i="1"/>
  <c r="DZ60" i="1" s="1"/>
  <c r="FC69" i="1"/>
  <c r="FF69" i="1" s="1"/>
  <c r="FB69" i="1"/>
  <c r="FC63" i="1"/>
  <c r="FF63" i="1" s="1"/>
  <c r="DX63" i="1"/>
  <c r="DW63" i="1"/>
  <c r="DZ63" i="1" s="1"/>
  <c r="CZ63" i="1"/>
  <c r="CY63" i="1"/>
  <c r="DB63" i="1" s="1"/>
  <c r="BG63" i="1"/>
  <c r="BJ63" i="1" s="1"/>
  <c r="FB65" i="1"/>
  <c r="FB66" i="1"/>
  <c r="FB68" i="1"/>
  <c r="FB71" i="1"/>
  <c r="FB73" i="1"/>
  <c r="FB70" i="1"/>
  <c r="FB64" i="1"/>
  <c r="FB63" i="1"/>
  <c r="FB60" i="1"/>
  <c r="DV68" i="1"/>
  <c r="DV63" i="1"/>
  <c r="DV61" i="1"/>
  <c r="DV58" i="1"/>
  <c r="DV67" i="1"/>
  <c r="CX68" i="1"/>
  <c r="CX65" i="1"/>
  <c r="CX60" i="1"/>
  <c r="CX59" i="1"/>
  <c r="CX71" i="1"/>
  <c r="CX64" i="1"/>
  <c r="CX63" i="1"/>
  <c r="DV64" i="1"/>
  <c r="DV59" i="1"/>
  <c r="BF74" i="1"/>
  <c r="BG74" i="1"/>
  <c r="BJ74" i="1" s="1"/>
  <c r="BF73" i="1"/>
  <c r="BG73" i="1"/>
  <c r="BJ73" i="1" s="1"/>
  <c r="BF71" i="1"/>
  <c r="BF67" i="1"/>
  <c r="BG67" i="1"/>
  <c r="BJ67" i="1" s="1"/>
  <c r="BF63" i="1"/>
  <c r="AI63" i="1"/>
  <c r="AL63" i="1" s="1"/>
  <c r="AI64" i="1"/>
  <c r="AL64" i="1" s="1"/>
  <c r="DV66" i="1"/>
  <c r="DV69" i="1"/>
  <c r="CX69" i="1"/>
  <c r="DV70" i="1"/>
  <c r="DV71" i="1"/>
  <c r="AI72" i="1"/>
  <c r="AL72" i="1" s="1"/>
  <c r="BF61" i="1"/>
  <c r="FB62" i="1"/>
  <c r="DV62" i="1"/>
  <c r="AI62" i="1"/>
  <c r="AL62" i="1" s="1"/>
  <c r="AH62" i="1"/>
  <c r="FB61" i="1"/>
  <c r="DV60" i="1"/>
  <c r="AI60" i="1"/>
  <c r="AL60" i="1" s="1"/>
  <c r="CX58" i="1"/>
  <c r="AI58" i="1"/>
  <c r="AL58" i="1" s="1"/>
  <c r="AI59" i="1"/>
  <c r="AL59" i="1" s="1"/>
  <c r="BF57" i="1"/>
  <c r="FB56" i="1"/>
  <c r="DV56" i="1"/>
  <c r="CX56" i="1"/>
  <c r="BF59" i="1"/>
  <c r="FB54" i="1"/>
  <c r="FB55" i="1"/>
  <c r="DV55" i="1"/>
  <c r="AI55" i="1"/>
  <c r="AL55" i="1" s="1"/>
  <c r="CX53" i="1"/>
  <c r="CX54" i="1"/>
  <c r="AI54" i="1"/>
  <c r="AL54" i="1" s="1"/>
  <c r="AH54" i="1"/>
  <c r="BF72" i="1"/>
  <c r="BF66" i="1"/>
  <c r="BF62" i="1"/>
  <c r="BG62" i="1"/>
  <c r="BJ62" i="1" s="1"/>
  <c r="BF60" i="1"/>
  <c r="BG60" i="1"/>
  <c r="BJ60" i="1" s="1"/>
  <c r="BF58" i="1"/>
  <c r="BG58" i="1"/>
  <c r="BJ58" i="1" s="1"/>
  <c r="BF54" i="1"/>
  <c r="AH71" i="1"/>
  <c r="AH64" i="1"/>
  <c r="AH55" i="1"/>
  <c r="AH73" i="1"/>
  <c r="AH58" i="1"/>
  <c r="AH53" i="1"/>
  <c r="AH67" i="1"/>
  <c r="AH59" i="1"/>
  <c r="J73" i="1"/>
  <c r="J59" i="1"/>
  <c r="J55" i="1"/>
  <c r="J74" i="1"/>
  <c r="J70" i="1"/>
  <c r="J62" i="1"/>
  <c r="J56" i="1"/>
  <c r="J53" i="1"/>
  <c r="BG61" i="1"/>
  <c r="BJ61" i="1" s="1"/>
  <c r="BG69" i="1"/>
  <c r="BJ69" i="1" s="1"/>
  <c r="BG72" i="1"/>
  <c r="BJ72" i="1" s="1"/>
  <c r="L12" i="1"/>
  <c r="P12" i="1" s="1"/>
  <c r="AI12" i="1"/>
  <c r="AL12" i="1" s="1"/>
  <c r="AJ12" i="1"/>
  <c r="L33" i="1"/>
  <c r="P33" i="1" s="1"/>
  <c r="FD12" i="1"/>
  <c r="FC12" i="1"/>
  <c r="FF12" i="1" s="1"/>
  <c r="AJ31" i="1"/>
  <c r="AI31" i="1"/>
  <c r="AL31" i="1" s="1"/>
  <c r="AI23" i="1"/>
  <c r="AL23" i="1" s="1"/>
  <c r="AJ23" i="1"/>
  <c r="AJ33" i="1"/>
  <c r="AI33" i="1"/>
  <c r="AL33" i="1" s="1"/>
  <c r="AJ29" i="1"/>
  <c r="AI29" i="1"/>
  <c r="AL29" i="1" s="1"/>
  <c r="BJ27" i="1"/>
  <c r="BH27" i="1"/>
  <c r="BJ24" i="1"/>
  <c r="BH24" i="1"/>
  <c r="AJ21" i="1"/>
  <c r="AI21" i="1"/>
  <c r="AL21" i="1" s="1"/>
  <c r="AJ14" i="1"/>
  <c r="AI14" i="1"/>
  <c r="AL14" i="1" s="1"/>
  <c r="L32" i="1"/>
  <c r="P32" i="1" s="1"/>
  <c r="L30" i="1"/>
  <c r="P30" i="1" s="1"/>
  <c r="L26" i="1"/>
  <c r="P26" i="1" s="1"/>
  <c r="N26" i="1"/>
  <c r="L24" i="1"/>
  <c r="P24" i="1" s="1"/>
  <c r="N24" i="1"/>
  <c r="R24" i="1" s="1"/>
  <c r="L22" i="1"/>
  <c r="P22" i="1" s="1"/>
  <c r="N22" i="1"/>
  <c r="L20" i="1"/>
  <c r="P20" i="1" s="1"/>
  <c r="N20" i="1"/>
  <c r="R20" i="1" s="1"/>
  <c r="N19" i="1"/>
  <c r="L19" i="1"/>
  <c r="P19" i="1" s="1"/>
  <c r="N15" i="1"/>
  <c r="R15" i="1" s="1"/>
  <c r="L15" i="1"/>
  <c r="P15" i="1" s="1"/>
  <c r="L13" i="1"/>
  <c r="P13" i="1" s="1"/>
  <c r="CZ32" i="1"/>
  <c r="CY32" i="1"/>
  <c r="DB32" i="1" s="1"/>
  <c r="CZ30" i="1"/>
  <c r="CY30" i="1"/>
  <c r="DB30" i="1" s="1"/>
  <c r="CY26" i="1"/>
  <c r="DB26" i="1" s="1"/>
  <c r="CZ26" i="1"/>
  <c r="CY24" i="1"/>
  <c r="DB24" i="1" s="1"/>
  <c r="CZ24" i="1"/>
  <c r="CZ20" i="1"/>
  <c r="CY20" i="1"/>
  <c r="DB20" i="1" s="1"/>
  <c r="CZ18" i="1"/>
  <c r="CY18" i="1"/>
  <c r="DB18" i="1" s="1"/>
  <c r="CY14" i="1"/>
  <c r="DB14" i="1" s="1"/>
  <c r="CZ14" i="1"/>
  <c r="CZ12" i="1"/>
  <c r="CY12" i="1"/>
  <c r="DB12" i="1" s="1"/>
  <c r="DW33" i="1"/>
  <c r="DZ33" i="1" s="1"/>
  <c r="DX33" i="1"/>
  <c r="DW31" i="1"/>
  <c r="DZ31" i="1" s="1"/>
  <c r="DX31" i="1"/>
  <c r="DW29" i="1"/>
  <c r="DZ29" i="1" s="1"/>
  <c r="DX29" i="1"/>
  <c r="DX27" i="1"/>
  <c r="DW27" i="1"/>
  <c r="DZ27" i="1" s="1"/>
  <c r="DX25" i="1"/>
  <c r="DW25" i="1"/>
  <c r="DZ25" i="1" s="1"/>
  <c r="DX23" i="1"/>
  <c r="DW23" i="1"/>
  <c r="DZ23" i="1" s="1"/>
  <c r="DW21" i="1"/>
  <c r="DZ21" i="1" s="1"/>
  <c r="DX21" i="1"/>
  <c r="DW19" i="1"/>
  <c r="DZ19" i="1" s="1"/>
  <c r="DX19" i="1"/>
  <c r="DX13" i="1"/>
  <c r="DW13" i="1"/>
  <c r="DZ13" i="1" s="1"/>
  <c r="FC33" i="1"/>
  <c r="FF33" i="1" s="1"/>
  <c r="FD33" i="1"/>
  <c r="FD32" i="1"/>
  <c r="FC32" i="1"/>
  <c r="FF32" i="1" s="1"/>
  <c r="FC31" i="1"/>
  <c r="FF31" i="1" s="1"/>
  <c r="FD31" i="1"/>
  <c r="FD30" i="1"/>
  <c r="FC30" i="1"/>
  <c r="FF30" i="1" s="1"/>
  <c r="FC29" i="1"/>
  <c r="FF29" i="1" s="1"/>
  <c r="FD29" i="1"/>
  <c r="FC24" i="1"/>
  <c r="FF24" i="1" s="1"/>
  <c r="FD24" i="1"/>
  <c r="FD23" i="1"/>
  <c r="FC23" i="1"/>
  <c r="FF23" i="1" s="1"/>
  <c r="FC14" i="1"/>
  <c r="FF14" i="1" s="1"/>
  <c r="FD14" i="1"/>
  <c r="AJ19" i="1"/>
  <c r="AI19" i="1"/>
  <c r="AL19" i="1" s="1"/>
  <c r="AI32" i="1"/>
  <c r="AL32" i="1" s="1"/>
  <c r="AJ32" i="1"/>
  <c r="AI30" i="1"/>
  <c r="AL30" i="1" s="1"/>
  <c r="AJ30" i="1"/>
  <c r="AI27" i="1"/>
  <c r="AL27" i="1" s="1"/>
  <c r="AJ27" i="1"/>
  <c r="AJ26" i="1"/>
  <c r="AI26" i="1"/>
  <c r="AL26" i="1" s="1"/>
  <c r="AI25" i="1"/>
  <c r="AL25" i="1" s="1"/>
  <c r="AJ25" i="1"/>
  <c r="AJ24" i="1"/>
  <c r="AI24" i="1"/>
  <c r="AL24" i="1" s="1"/>
  <c r="AI20" i="1"/>
  <c r="AL20" i="1" s="1"/>
  <c r="AJ20" i="1"/>
  <c r="AI18" i="1"/>
  <c r="AL18" i="1" s="1"/>
  <c r="AJ18" i="1"/>
  <c r="AI13" i="1"/>
  <c r="AL13" i="1" s="1"/>
  <c r="AJ13" i="1"/>
  <c r="L31" i="1"/>
  <c r="P31" i="1" s="1"/>
  <c r="N31" i="1"/>
  <c r="R31" i="1" s="1"/>
  <c r="L29" i="1"/>
  <c r="P29" i="1" s="1"/>
  <c r="N29" i="1"/>
  <c r="L27" i="1"/>
  <c r="P27" i="1" s="1"/>
  <c r="N27" i="1"/>
  <c r="R27" i="1" s="1"/>
  <c r="L25" i="1"/>
  <c r="P25" i="1" s="1"/>
  <c r="N25" i="1"/>
  <c r="L23" i="1"/>
  <c r="P23" i="1" s="1"/>
  <c r="N23" i="1"/>
  <c r="R23" i="1" s="1"/>
  <c r="L21" i="1"/>
  <c r="P21" i="1" s="1"/>
  <c r="N21" i="1"/>
  <c r="L18" i="1"/>
  <c r="P18" i="1" s="1"/>
  <c r="N18" i="1"/>
  <c r="L14" i="1"/>
  <c r="P14" i="1" s="1"/>
  <c r="CY33" i="1"/>
  <c r="DB33" i="1" s="1"/>
  <c r="CZ33" i="1"/>
  <c r="CY31" i="1"/>
  <c r="DB31" i="1" s="1"/>
  <c r="CZ31" i="1"/>
  <c r="CY29" i="1"/>
  <c r="DB29" i="1" s="1"/>
  <c r="CZ29" i="1"/>
  <c r="CZ27" i="1"/>
  <c r="CY27" i="1"/>
  <c r="DB27" i="1" s="1"/>
  <c r="CZ25" i="1"/>
  <c r="CY25" i="1"/>
  <c r="DB25" i="1" s="1"/>
  <c r="CZ23" i="1"/>
  <c r="CY23" i="1"/>
  <c r="DB23" i="1" s="1"/>
  <c r="CY21" i="1"/>
  <c r="DB21" i="1" s="1"/>
  <c r="CZ21" i="1"/>
  <c r="CY19" i="1"/>
  <c r="DB19" i="1" s="1"/>
  <c r="CZ19" i="1"/>
  <c r="CZ13" i="1"/>
  <c r="CY13" i="1"/>
  <c r="DB13" i="1" s="1"/>
  <c r="DX32" i="1"/>
  <c r="DW32" i="1"/>
  <c r="DZ32" i="1" s="1"/>
  <c r="DX30" i="1"/>
  <c r="DW30" i="1"/>
  <c r="DZ30" i="1" s="1"/>
  <c r="DW26" i="1"/>
  <c r="DZ26" i="1" s="1"/>
  <c r="DX26" i="1"/>
  <c r="DW24" i="1"/>
  <c r="DZ24" i="1" s="1"/>
  <c r="DX24" i="1"/>
  <c r="DX20" i="1"/>
  <c r="DW20" i="1"/>
  <c r="DZ20" i="1" s="1"/>
  <c r="DX18" i="1"/>
  <c r="DW18" i="1"/>
  <c r="DZ18" i="1" s="1"/>
  <c r="DW14" i="1"/>
  <c r="DZ14" i="1" s="1"/>
  <c r="DX14" i="1"/>
  <c r="DX12" i="1"/>
  <c r="DW12" i="1"/>
  <c r="DZ12" i="1" s="1"/>
  <c r="FD27" i="1"/>
  <c r="FC27" i="1"/>
  <c r="FF27" i="1" s="1"/>
  <c r="FC26" i="1"/>
  <c r="FF26" i="1" s="1"/>
  <c r="FD26" i="1"/>
  <c r="FD25" i="1"/>
  <c r="FC25" i="1"/>
  <c r="FF25" i="1" s="1"/>
  <c r="FC21" i="1"/>
  <c r="FF21" i="1" s="1"/>
  <c r="FD21" i="1"/>
  <c r="FD20" i="1"/>
  <c r="FC20" i="1"/>
  <c r="FF20" i="1" s="1"/>
  <c r="FC19" i="1"/>
  <c r="FF19" i="1" s="1"/>
  <c r="FD19" i="1"/>
  <c r="FD18" i="1"/>
  <c r="FC18" i="1"/>
  <c r="FF18" i="1" s="1"/>
  <c r="FD13" i="1"/>
  <c r="FC13" i="1"/>
  <c r="FF13" i="1" s="1"/>
  <c r="FD15" i="1"/>
  <c r="FC15" i="1"/>
  <c r="FF15" i="1" s="1"/>
  <c r="DX15" i="1"/>
  <c r="DW15" i="1"/>
  <c r="DZ15" i="1" s="1"/>
  <c r="CZ15" i="1"/>
  <c r="CY15" i="1"/>
  <c r="DB15" i="1" s="1"/>
  <c r="BF15" i="1"/>
  <c r="AJ15" i="1"/>
  <c r="AI15" i="1"/>
  <c r="AL15" i="1" s="1"/>
  <c r="FD16" i="1"/>
  <c r="FC16" i="1"/>
  <c r="FF16" i="1" s="1"/>
  <c r="DX16" i="1"/>
  <c r="DW16" i="1"/>
  <c r="DZ16" i="1" s="1"/>
  <c r="CY16" i="1"/>
  <c r="DB16" i="1" s="1"/>
  <c r="CZ16" i="1"/>
  <c r="BJ16" i="1"/>
  <c r="BH16" i="1"/>
  <c r="AJ16" i="1"/>
  <c r="AI16" i="1"/>
  <c r="AL16" i="1" s="1"/>
  <c r="L16" i="1"/>
  <c r="P16" i="1" s="1"/>
  <c r="N16" i="1"/>
  <c r="FD17" i="1"/>
  <c r="FC17" i="1"/>
  <c r="FF17" i="1" s="1"/>
  <c r="DX17" i="1"/>
  <c r="DW17" i="1"/>
  <c r="DZ17" i="1" s="1"/>
  <c r="CZ17" i="1"/>
  <c r="CY17" i="1"/>
  <c r="DB17" i="1" s="1"/>
  <c r="CX17" i="1"/>
  <c r="BF17" i="1"/>
  <c r="AJ17" i="1"/>
  <c r="AI17" i="1"/>
  <c r="AL17" i="1" s="1"/>
  <c r="L17" i="1"/>
  <c r="P17" i="1" s="1"/>
  <c r="FD22" i="1"/>
  <c r="FC22" i="1"/>
  <c r="FF22" i="1" s="1"/>
  <c r="DW22" i="1"/>
  <c r="DZ22" i="1" s="1"/>
  <c r="DX22" i="1"/>
  <c r="DV22" i="1"/>
  <c r="CY22" i="1"/>
  <c r="DB22" i="1" s="1"/>
  <c r="CZ22" i="1"/>
  <c r="AJ22" i="1"/>
  <c r="AI22" i="1"/>
  <c r="AL22" i="1" s="1"/>
  <c r="AH22" i="1"/>
  <c r="FD28" i="1"/>
  <c r="FC28" i="1"/>
  <c r="FF28" i="1" s="1"/>
  <c r="DX28" i="1"/>
  <c r="DW28" i="1"/>
  <c r="DZ28" i="1" s="1"/>
  <c r="CZ28" i="1"/>
  <c r="CY28" i="1"/>
  <c r="AJ28" i="1"/>
  <c r="AI28" i="1"/>
  <c r="AL28" i="1" s="1"/>
  <c r="L28" i="1"/>
  <c r="P28" i="1" s="1"/>
  <c r="N28" i="1"/>
  <c r="J28" i="1"/>
  <c r="FB16" i="1"/>
  <c r="FB14" i="1"/>
  <c r="FB12" i="1"/>
  <c r="DV29" i="1"/>
  <c r="DV27" i="1"/>
  <c r="DV25" i="1"/>
  <c r="DV21" i="1"/>
  <c r="DV17" i="1"/>
  <c r="DV15" i="1"/>
  <c r="DV13" i="1"/>
  <c r="CX32" i="1"/>
  <c r="CX26" i="1"/>
  <c r="CX24" i="1"/>
  <c r="CX20" i="1"/>
  <c r="CX18" i="1"/>
  <c r="CX16" i="1"/>
  <c r="CX14" i="1"/>
  <c r="CX28" i="1"/>
  <c r="BF27" i="1"/>
  <c r="BF23" i="1"/>
  <c r="BF22" i="1"/>
  <c r="BJ12" i="1"/>
  <c r="BJ28" i="1"/>
  <c r="BF25" i="1"/>
  <c r="BF21" i="1"/>
  <c r="BF16" i="1"/>
  <c r="BF32" i="1"/>
  <c r="BF28" i="1"/>
  <c r="BF24" i="1"/>
  <c r="BF13" i="1"/>
  <c r="BF12" i="1"/>
  <c r="AH31" i="1"/>
  <c r="AH25" i="1"/>
  <c r="AH15" i="1"/>
  <c r="AH32" i="1"/>
  <c r="AH13" i="1"/>
  <c r="AH21" i="1"/>
  <c r="AH28" i="1"/>
  <c r="AH30" i="1"/>
  <c r="AH14" i="1"/>
  <c r="J25" i="1"/>
  <c r="J16" i="1"/>
  <c r="J21" i="1"/>
  <c r="J29" i="1"/>
  <c r="J27" i="1"/>
  <c r="N14" i="1"/>
  <c r="N32" i="1"/>
  <c r="J32" i="1"/>
  <c r="J26" i="1"/>
  <c r="J14" i="1"/>
  <c r="J18" i="1"/>
  <c r="J24" i="1"/>
  <c r="J12" i="1"/>
  <c r="BB80" i="1" l="1"/>
  <c r="AV79" i="1"/>
  <c r="AV80" i="1" s="1"/>
  <c r="BT79" i="1"/>
  <c r="BT80" i="1" s="1"/>
  <c r="BW80" i="1"/>
  <c r="X79" i="1"/>
  <c r="X80" i="1" s="1"/>
  <c r="AF80" i="1"/>
  <c r="H80" i="1"/>
  <c r="D79" i="1"/>
  <c r="D80" i="1" s="1"/>
  <c r="AN53" i="1"/>
  <c r="BL53" i="1" s="1"/>
  <c r="CF53" i="1" s="1"/>
  <c r="DD53" i="1" s="1"/>
  <c r="EB53" i="1" s="1"/>
  <c r="FH53" i="1" s="1"/>
  <c r="AN74" i="1"/>
  <c r="BL74" i="1" s="1"/>
  <c r="AN60" i="1"/>
  <c r="BL60" i="1" s="1"/>
  <c r="AP54" i="1"/>
  <c r="BN54" i="1" s="1"/>
  <c r="CH54" i="1" s="1"/>
  <c r="DF54" i="1" s="1"/>
  <c r="ED54" i="1" s="1"/>
  <c r="FJ54" i="1" s="1"/>
  <c r="AN68" i="1"/>
  <c r="BL68" i="1" s="1"/>
  <c r="AN19" i="1"/>
  <c r="BL19" i="1" s="1"/>
  <c r="CF19" i="1" s="1"/>
  <c r="DD19" i="1" s="1"/>
  <c r="EB19" i="1" s="1"/>
  <c r="FH19" i="1" s="1"/>
  <c r="AN29" i="1"/>
  <c r="BL29" i="1" s="1"/>
  <c r="CF29" i="1" s="1"/>
  <c r="DD29" i="1" s="1"/>
  <c r="EB29" i="1" s="1"/>
  <c r="FH29" i="1" s="1"/>
  <c r="AN23" i="1"/>
  <c r="BL23" i="1" s="1"/>
  <c r="CF23" i="1" s="1"/>
  <c r="DD23" i="1" s="1"/>
  <c r="AP23" i="1"/>
  <c r="BN23" i="1" s="1"/>
  <c r="AN14" i="1"/>
  <c r="BL14" i="1" s="1"/>
  <c r="CF14" i="1" s="1"/>
  <c r="DD14" i="1" s="1"/>
  <c r="EB14" i="1" s="1"/>
  <c r="FH14" i="1" s="1"/>
  <c r="AP74" i="1"/>
  <c r="BN74" i="1" s="1"/>
  <c r="AN73" i="1"/>
  <c r="BL73" i="1" s="1"/>
  <c r="AN71" i="1"/>
  <c r="BL71" i="1" s="1"/>
  <c r="AP66" i="1"/>
  <c r="BN66" i="1" s="1"/>
  <c r="CH66" i="1" s="1"/>
  <c r="DF66" i="1" s="1"/>
  <c r="ED66" i="1" s="1"/>
  <c r="FJ66" i="1" s="1"/>
  <c r="AP58" i="1"/>
  <c r="BN58" i="1" s="1"/>
  <c r="AP57" i="1"/>
  <c r="BN57" i="1" s="1"/>
  <c r="CH57" i="1" s="1"/>
  <c r="DF57" i="1" s="1"/>
  <c r="ED57" i="1" s="1"/>
  <c r="FJ57" i="1" s="1"/>
  <c r="AP67" i="1"/>
  <c r="BN67" i="1" s="1"/>
  <c r="CH67" i="1" s="1"/>
  <c r="DF67" i="1" s="1"/>
  <c r="ED67" i="1" s="1"/>
  <c r="FJ67" i="1" s="1"/>
  <c r="AP68" i="1"/>
  <c r="BN68" i="1" s="1"/>
  <c r="CH68" i="1" s="1"/>
  <c r="DF68" i="1" s="1"/>
  <c r="ED68" i="1" s="1"/>
  <c r="FJ68" i="1" s="1"/>
  <c r="AP72" i="1"/>
  <c r="BN72" i="1" s="1"/>
  <c r="AN66" i="1"/>
  <c r="BL66" i="1" s="1"/>
  <c r="AN70" i="1"/>
  <c r="BL70" i="1" s="1"/>
  <c r="AN30" i="1"/>
  <c r="BL30" i="1" s="1"/>
  <c r="CF30" i="1" s="1"/>
  <c r="DD30" i="1" s="1"/>
  <c r="EB30" i="1" s="1"/>
  <c r="FH30" i="1" s="1"/>
  <c r="AN33" i="1"/>
  <c r="BL33" i="1" s="1"/>
  <c r="CF33" i="1" s="1"/>
  <c r="DD33" i="1" s="1"/>
  <c r="EB33" i="1" s="1"/>
  <c r="FH33" i="1" s="1"/>
  <c r="DD64" i="1"/>
  <c r="EB64" i="1" s="1"/>
  <c r="FH64" i="1" s="1"/>
  <c r="AN67" i="1"/>
  <c r="BL67" i="1" s="1"/>
  <c r="CF67" i="1" s="1"/>
  <c r="DD55" i="1"/>
  <c r="EB55" i="1" s="1"/>
  <c r="FH55" i="1" s="1"/>
  <c r="AN61" i="1"/>
  <c r="BL61" i="1" s="1"/>
  <c r="AN65" i="1"/>
  <c r="BL65" i="1" s="1"/>
  <c r="DD54" i="1"/>
  <c r="EB54" i="1" s="1"/>
  <c r="FH54" i="1" s="1"/>
  <c r="DD58" i="1"/>
  <c r="EB58" i="1" s="1"/>
  <c r="FH58" i="1" s="1"/>
  <c r="AP20" i="1"/>
  <c r="BN20" i="1" s="1"/>
  <c r="AN18" i="1"/>
  <c r="BL18" i="1" s="1"/>
  <c r="CF18" i="1" s="1"/>
  <c r="DD18" i="1" s="1"/>
  <c r="EB18" i="1" s="1"/>
  <c r="FH18" i="1" s="1"/>
  <c r="AN26" i="1"/>
  <c r="BL26" i="1" s="1"/>
  <c r="CF26" i="1" s="1"/>
  <c r="DD26" i="1" s="1"/>
  <c r="EB26" i="1" s="1"/>
  <c r="FH26" i="1" s="1"/>
  <c r="AN32" i="1"/>
  <c r="BL32" i="1" s="1"/>
  <c r="DD72" i="1"/>
  <c r="EB72" i="1" s="1"/>
  <c r="FH72" i="1" s="1"/>
  <c r="AN57" i="1"/>
  <c r="BL57" i="1" s="1"/>
  <c r="CF57" i="1" s="1"/>
  <c r="DD63" i="1"/>
  <c r="EB63" i="1" s="1"/>
  <c r="FH63" i="1" s="1"/>
  <c r="AN17" i="1"/>
  <c r="BL17" i="1" s="1"/>
  <c r="AP15" i="1"/>
  <c r="BN15" i="1" s="1"/>
  <c r="DF15" i="1" s="1"/>
  <c r="ED15" i="1" s="1"/>
  <c r="FJ15" i="1" s="1"/>
  <c r="R56" i="1"/>
  <c r="AP56" i="1" s="1"/>
  <c r="BN56" i="1" s="1"/>
  <c r="R33" i="1"/>
  <c r="AP33" i="1" s="1"/>
  <c r="BN33" i="1" s="1"/>
  <c r="DF33" i="1" s="1"/>
  <c r="ED33" i="1" s="1"/>
  <c r="FJ33" i="1" s="1"/>
  <c r="R21" i="1"/>
  <c r="AP21" i="1" s="1"/>
  <c r="BN21" i="1" s="1"/>
  <c r="DF21" i="1" s="1"/>
  <c r="ED21" i="1" s="1"/>
  <c r="FJ21" i="1" s="1"/>
  <c r="R19" i="1"/>
  <c r="AP19" i="1" s="1"/>
  <c r="BN19" i="1" s="1"/>
  <c r="R25" i="1"/>
  <c r="AP25" i="1" s="1"/>
  <c r="BN25" i="1" s="1"/>
  <c r="R63" i="1"/>
  <c r="AP63" i="1" s="1"/>
  <c r="BN63" i="1" s="1"/>
  <c r="AN27" i="1"/>
  <c r="BL27" i="1" s="1"/>
  <c r="AN31" i="1"/>
  <c r="BL31" i="1" s="1"/>
  <c r="CF31" i="1" s="1"/>
  <c r="DD31" i="1" s="1"/>
  <c r="EB31" i="1" s="1"/>
  <c r="FH31" i="1" s="1"/>
  <c r="R69" i="1"/>
  <c r="AP69" i="1" s="1"/>
  <c r="BN69" i="1" s="1"/>
  <c r="R29" i="1"/>
  <c r="AP29" i="1" s="1"/>
  <c r="BN29" i="1" s="1"/>
  <c r="DF29" i="1" s="1"/>
  <c r="ED29" i="1" s="1"/>
  <c r="FJ29" i="1" s="1"/>
  <c r="R22" i="1"/>
  <c r="AP22" i="1" s="1"/>
  <c r="BN22" i="1" s="1"/>
  <c r="DF22" i="1" s="1"/>
  <c r="ED22" i="1" s="1"/>
  <c r="FJ22" i="1" s="1"/>
  <c r="AN21" i="1"/>
  <c r="BL21" i="1" s="1"/>
  <c r="CF21" i="1" s="1"/>
  <c r="DD21" i="1" s="1"/>
  <c r="EB21" i="1" s="1"/>
  <c r="FH21" i="1" s="1"/>
  <c r="AN25" i="1"/>
  <c r="BL25" i="1" s="1"/>
  <c r="CF25" i="1" s="1"/>
  <c r="DD25" i="1" s="1"/>
  <c r="EB25" i="1" s="1"/>
  <c r="FH25" i="1" s="1"/>
  <c r="AN69" i="1"/>
  <c r="BL69" i="1" s="1"/>
  <c r="CF69" i="1" s="1"/>
  <c r="AP31" i="1"/>
  <c r="BN31" i="1" s="1"/>
  <c r="DF31" i="1" s="1"/>
  <c r="ED31" i="1" s="1"/>
  <c r="FJ31" i="1" s="1"/>
  <c r="AN12" i="1"/>
  <c r="BL12" i="1" s="1"/>
  <c r="R65" i="1"/>
  <c r="AP65" i="1" s="1"/>
  <c r="BN65" i="1" s="1"/>
  <c r="AP64" i="1"/>
  <c r="BN64" i="1" s="1"/>
  <c r="AN62" i="1"/>
  <c r="BL62" i="1" s="1"/>
  <c r="CF62" i="1" s="1"/>
  <c r="AP62" i="1"/>
  <c r="BN62" i="1" s="1"/>
  <c r="AP60" i="1"/>
  <c r="BN60" i="1" s="1"/>
  <c r="AN59" i="1"/>
  <c r="BL59" i="1" s="1"/>
  <c r="CF59" i="1" s="1"/>
  <c r="R59" i="1"/>
  <c r="AP59" i="1" s="1"/>
  <c r="BN59" i="1" s="1"/>
  <c r="AP55" i="1"/>
  <c r="BN55" i="1" s="1"/>
  <c r="AP73" i="1"/>
  <c r="BN73" i="1" s="1"/>
  <c r="R71" i="1"/>
  <c r="AP71" i="1" s="1"/>
  <c r="BN71" i="1" s="1"/>
  <c r="R53" i="1"/>
  <c r="R70" i="1"/>
  <c r="AP70" i="1" s="1"/>
  <c r="BN70" i="1" s="1"/>
  <c r="R61" i="1"/>
  <c r="AP61" i="1" s="1"/>
  <c r="BN61" i="1" s="1"/>
  <c r="AN20" i="1"/>
  <c r="BL20" i="1" s="1"/>
  <c r="AN24" i="1"/>
  <c r="BL24" i="1" s="1"/>
  <c r="AN13" i="1"/>
  <c r="BL13" i="1" s="1"/>
  <c r="AN15" i="1"/>
  <c r="BL15" i="1" s="1"/>
  <c r="AP24" i="1"/>
  <c r="BN24" i="1" s="1"/>
  <c r="DF24" i="1" s="1"/>
  <c r="ED24" i="1" s="1"/>
  <c r="FJ24" i="1" s="1"/>
  <c r="DF25" i="1"/>
  <c r="ED25" i="1" s="1"/>
  <c r="FJ25" i="1" s="1"/>
  <c r="AP27" i="1"/>
  <c r="BN27" i="1" s="1"/>
  <c r="DF27" i="1" s="1"/>
  <c r="ED27" i="1" s="1"/>
  <c r="FJ27" i="1" s="1"/>
  <c r="AN28" i="1"/>
  <c r="BL28" i="1" s="1"/>
  <c r="R26" i="1"/>
  <c r="AP26" i="1" s="1"/>
  <c r="BN26" i="1" s="1"/>
  <c r="DF26" i="1" s="1"/>
  <c r="ED26" i="1" s="1"/>
  <c r="FJ26" i="1" s="1"/>
  <c r="DF23" i="1"/>
  <c r="ED23" i="1" s="1"/>
  <c r="FJ23" i="1" s="1"/>
  <c r="DF20" i="1"/>
  <c r="ED20" i="1" s="1"/>
  <c r="FJ20" i="1" s="1"/>
  <c r="DF19" i="1"/>
  <c r="ED19" i="1" s="1"/>
  <c r="FJ19" i="1" s="1"/>
  <c r="AN22" i="1"/>
  <c r="BL22" i="1" s="1"/>
  <c r="CF22" i="1" s="1"/>
  <c r="DD22" i="1" s="1"/>
  <c r="EB22" i="1" s="1"/>
  <c r="FH22" i="1" s="1"/>
  <c r="AP17" i="1"/>
  <c r="BN17" i="1" s="1"/>
  <c r="AN16" i="1"/>
  <c r="BL16" i="1" s="1"/>
  <c r="CF16" i="1" s="1"/>
  <c r="DD16" i="1" s="1"/>
  <c r="EB16" i="1" s="1"/>
  <c r="FH16" i="1" s="1"/>
  <c r="DF17" i="1"/>
  <c r="ED17" i="1" s="1"/>
  <c r="FJ17" i="1" s="1"/>
  <c r="DB28" i="1"/>
  <c r="Q70" i="8"/>
  <c r="U70" i="8"/>
  <c r="N70" i="8"/>
  <c r="J70" i="8"/>
  <c r="AP13" i="1"/>
  <c r="BN13" i="1" s="1"/>
  <c r="DF13" i="1" s="1"/>
  <c r="ED13" i="1" s="1"/>
  <c r="FJ13" i="1" s="1"/>
  <c r="U22" i="8"/>
  <c r="Q22" i="8"/>
  <c r="R16" i="1"/>
  <c r="AP16" i="1" s="1"/>
  <c r="BN16" i="1" s="1"/>
  <c r="DF16" i="1" s="1"/>
  <c r="ED16" i="1" s="1"/>
  <c r="FJ16" i="1" s="1"/>
  <c r="R14" i="1"/>
  <c r="AP14" i="1" s="1"/>
  <c r="BN14" i="1" s="1"/>
  <c r="DF14" i="1" s="1"/>
  <c r="ED14" i="1" s="1"/>
  <c r="FJ14" i="1" s="1"/>
  <c r="R32" i="1"/>
  <c r="AP32" i="1" s="1"/>
  <c r="BN32" i="1" s="1"/>
  <c r="DF32" i="1" s="1"/>
  <c r="ED32" i="1" s="1"/>
  <c r="FJ32" i="1" s="1"/>
  <c r="R18" i="1"/>
  <c r="AP18" i="1" s="1"/>
  <c r="BN18" i="1" s="1"/>
  <c r="DF18" i="1" s="1"/>
  <c r="ED18" i="1" s="1"/>
  <c r="FJ18" i="1" s="1"/>
  <c r="R28" i="1"/>
  <c r="AP28" i="1" s="1"/>
  <c r="BN28" i="1" s="1"/>
  <c r="R30" i="1"/>
  <c r="AP30" i="1" s="1"/>
  <c r="BN30" i="1" s="1"/>
  <c r="DF30" i="1" s="1"/>
  <c r="ED30" i="1" s="1"/>
  <c r="FJ30" i="1" s="1"/>
  <c r="N12" i="1"/>
  <c r="AN56" i="1"/>
  <c r="CH70" i="1" l="1"/>
  <c r="DF70" i="1" s="1"/>
  <c r="ED70" i="1" s="1"/>
  <c r="FJ70" i="1" s="1"/>
  <c r="CH65" i="1"/>
  <c r="DF65" i="1" s="1"/>
  <c r="ED65" i="1" s="1"/>
  <c r="FJ65" i="1" s="1"/>
  <c r="CH69" i="1"/>
  <c r="DF69" i="1" s="1"/>
  <c r="ED69" i="1" s="1"/>
  <c r="FJ69" i="1" s="1"/>
  <c r="CH59" i="1"/>
  <c r="DF59" i="1" s="1"/>
  <c r="ED59" i="1" s="1"/>
  <c r="FJ59" i="1" s="1"/>
  <c r="CF65" i="1"/>
  <c r="DD65" i="1" s="1"/>
  <c r="EB65" i="1" s="1"/>
  <c r="FH65" i="1" s="1"/>
  <c r="CF66" i="1"/>
  <c r="DD66" i="1" s="1"/>
  <c r="EB66" i="1" s="1"/>
  <c r="FH66" i="1" s="1"/>
  <c r="CF73" i="1"/>
  <c r="DD73" i="1" s="1"/>
  <c r="EB73" i="1" s="1"/>
  <c r="FH73" i="1" s="1"/>
  <c r="CH71" i="1"/>
  <c r="DF71" i="1" s="1"/>
  <c r="ED71" i="1" s="1"/>
  <c r="FJ71" i="1" s="1"/>
  <c r="CH64" i="1"/>
  <c r="DF64" i="1" s="1"/>
  <c r="ED64" i="1" s="1"/>
  <c r="FJ64" i="1" s="1"/>
  <c r="CF61" i="1"/>
  <c r="DD61" i="1" s="1"/>
  <c r="EB61" i="1" s="1"/>
  <c r="FH61" i="1" s="1"/>
  <c r="CH72" i="1"/>
  <c r="DF72" i="1" s="1"/>
  <c r="ED72" i="1" s="1"/>
  <c r="FJ72" i="1" s="1"/>
  <c r="CH58" i="1"/>
  <c r="DF58" i="1" s="1"/>
  <c r="ED58" i="1" s="1"/>
  <c r="FJ58" i="1" s="1"/>
  <c r="CH74" i="1"/>
  <c r="DF74" i="1" s="1"/>
  <c r="ED74" i="1" s="1"/>
  <c r="FJ74" i="1" s="1"/>
  <c r="CF60" i="1"/>
  <c r="DD60" i="1" s="1"/>
  <c r="EB60" i="1" s="1"/>
  <c r="FH60" i="1" s="1"/>
  <c r="CH61" i="1"/>
  <c r="DF61" i="1" s="1"/>
  <c r="ED61" i="1" s="1"/>
  <c r="FJ61" i="1" s="1"/>
  <c r="CH73" i="1"/>
  <c r="DF73" i="1" s="1"/>
  <c r="ED73" i="1" s="1"/>
  <c r="FJ73" i="1" s="1"/>
  <c r="CH60" i="1"/>
  <c r="DF60" i="1" s="1"/>
  <c r="ED60" i="1" s="1"/>
  <c r="FJ60" i="1" s="1"/>
  <c r="CH63" i="1"/>
  <c r="DF63" i="1" s="1"/>
  <c r="ED63" i="1" s="1"/>
  <c r="FJ63" i="1" s="1"/>
  <c r="CF74" i="1"/>
  <c r="DD74" i="1" s="1"/>
  <c r="EB74" i="1" s="1"/>
  <c r="FH74" i="1" s="1"/>
  <c r="CH55" i="1"/>
  <c r="DF55" i="1" s="1"/>
  <c r="ED55" i="1" s="1"/>
  <c r="FJ55" i="1" s="1"/>
  <c r="CH62" i="1"/>
  <c r="DF62" i="1" s="1"/>
  <c r="ED62" i="1" s="1"/>
  <c r="FJ62" i="1" s="1"/>
  <c r="CH56" i="1"/>
  <c r="DF56" i="1" s="1"/>
  <c r="ED56" i="1" s="1"/>
  <c r="FJ56" i="1" s="1"/>
  <c r="CF70" i="1"/>
  <c r="DD70" i="1" s="1"/>
  <c r="EB70" i="1" s="1"/>
  <c r="FH70" i="1" s="1"/>
  <c r="CF71" i="1"/>
  <c r="DD71" i="1" s="1"/>
  <c r="EB71" i="1" s="1"/>
  <c r="FH71" i="1" s="1"/>
  <c r="CF68" i="1"/>
  <c r="DD68" i="1" s="1"/>
  <c r="EB68" i="1" s="1"/>
  <c r="FH68" i="1" s="1"/>
  <c r="X22" i="8"/>
  <c r="AB22" i="8"/>
  <c r="DF28" i="1"/>
  <c r="ED28" i="1" s="1"/>
  <c r="FJ28" i="1" s="1"/>
  <c r="CF15" i="1"/>
  <c r="DD15" i="1" s="1"/>
  <c r="EB15" i="1" s="1"/>
  <c r="FH15" i="1" s="1"/>
  <c r="AP53" i="1"/>
  <c r="BN53" i="1" s="1"/>
  <c r="CF20" i="1"/>
  <c r="DD20" i="1" s="1"/>
  <c r="EB20" i="1" s="1"/>
  <c r="FH20" i="1" s="1"/>
  <c r="DD69" i="1"/>
  <c r="EB69" i="1" s="1"/>
  <c r="FH69" i="1" s="1"/>
  <c r="DD57" i="1"/>
  <c r="EB57" i="1" s="1"/>
  <c r="FH57" i="1" s="1"/>
  <c r="CF28" i="1"/>
  <c r="DD28" i="1" s="1"/>
  <c r="EB28" i="1" s="1"/>
  <c r="FH28" i="1" s="1"/>
  <c r="CF12" i="1"/>
  <c r="DD12" i="1" s="1"/>
  <c r="EB12" i="1" s="1"/>
  <c r="FH12" i="1" s="1"/>
  <c r="CF27" i="1"/>
  <c r="DD27" i="1" s="1"/>
  <c r="EB27" i="1" s="1"/>
  <c r="FH27" i="1" s="1"/>
  <c r="CF13" i="1"/>
  <c r="DD13" i="1" s="1"/>
  <c r="EB13" i="1" s="1"/>
  <c r="FH13" i="1" s="1"/>
  <c r="CF17" i="1"/>
  <c r="DD17" i="1" s="1"/>
  <c r="EB17" i="1" s="1"/>
  <c r="FH17" i="1" s="1"/>
  <c r="DD67" i="1"/>
  <c r="EB67" i="1" s="1"/>
  <c r="FH67" i="1" s="1"/>
  <c r="DD59" i="1"/>
  <c r="EB59" i="1" s="1"/>
  <c r="FH59" i="1" s="1"/>
  <c r="DD62" i="1"/>
  <c r="EB62" i="1" s="1"/>
  <c r="FH62" i="1" s="1"/>
  <c r="CF24" i="1"/>
  <c r="DD24" i="1" s="1"/>
  <c r="EB24" i="1" s="1"/>
  <c r="FH24" i="1" s="1"/>
  <c r="CF32" i="1"/>
  <c r="DD32" i="1" s="1"/>
  <c r="EB32" i="1" s="1"/>
  <c r="FH32" i="1" s="1"/>
  <c r="G70" i="8"/>
  <c r="C70" i="8"/>
  <c r="R12" i="1"/>
  <c r="BL56" i="1"/>
  <c r="N22" i="8"/>
  <c r="J22" i="8"/>
  <c r="CH53" i="1" l="1"/>
  <c r="DF53" i="1" s="1"/>
  <c r="ED53" i="1" s="1"/>
  <c r="FJ53" i="1" s="1"/>
  <c r="FO77" i="1" s="1"/>
  <c r="CF56" i="1"/>
  <c r="DD56" i="1" s="1"/>
  <c r="W70" i="8"/>
  <c r="W71" i="8" s="1"/>
  <c r="X70" i="8"/>
  <c r="AP12" i="1"/>
  <c r="EB23" i="1"/>
  <c r="BN12" i="1" l="1"/>
  <c r="FH23" i="1"/>
  <c r="FH35" i="1" s="1"/>
  <c r="EB56" i="1" l="1"/>
  <c r="DF12" i="1" l="1"/>
  <c r="FH56" i="1"/>
  <c r="FH77" i="1" l="1"/>
  <c r="ED12" i="1"/>
  <c r="FR76" i="1" l="1"/>
  <c r="FQ52" i="1"/>
  <c r="FJ12" i="1"/>
  <c r="FO35" i="1" l="1"/>
</calcChain>
</file>

<file path=xl/sharedStrings.xml><?xml version="1.0" encoding="utf-8"?>
<sst xmlns="http://schemas.openxmlformats.org/spreadsheetml/2006/main" count="2239" uniqueCount="397">
  <si>
    <t>NATIONAL CADET CORPS</t>
  </si>
  <si>
    <t>Place:</t>
  </si>
  <si>
    <t>College/Institution:</t>
  </si>
  <si>
    <t>Serial number</t>
  </si>
  <si>
    <t>Cadet number</t>
  </si>
  <si>
    <t>Rank</t>
  </si>
  <si>
    <t>Name</t>
  </si>
  <si>
    <t>Date of Parades</t>
  </si>
  <si>
    <t>Dates</t>
  </si>
  <si>
    <t>Total number of Parades</t>
  </si>
  <si>
    <t>Attended</t>
  </si>
  <si>
    <t>In Hours</t>
  </si>
  <si>
    <t>Percentage of Attendance</t>
  </si>
  <si>
    <t>Allowance due to cadets for the month</t>
  </si>
  <si>
    <t>Refreshment at paper hour</t>
  </si>
  <si>
    <t>Washing</t>
  </si>
  <si>
    <t>Progressive total including amount claimed in this bill</t>
  </si>
  <si>
    <t>Rs</t>
  </si>
  <si>
    <t>P</t>
  </si>
  <si>
    <t>Remarks</t>
  </si>
  <si>
    <t>Refreshment</t>
  </si>
  <si>
    <t>CDT</t>
  </si>
  <si>
    <t>Total</t>
  </si>
  <si>
    <t>A</t>
  </si>
  <si>
    <t xml:space="preserve">Total number of Parades held in this month: </t>
  </si>
  <si>
    <t>bill for Rs. _________________ .</t>
  </si>
  <si>
    <t xml:space="preserve">_____________________________________________________________ ) Admitted and included in this consolidated </t>
  </si>
  <si>
    <t>Accepted and passed for payment of Rs _______________ (Rupees __________________________________________</t>
  </si>
  <si>
    <t>(FOR OFFICE USE ONLY)</t>
  </si>
  <si>
    <t>(Sgnature of Head Of Institution with Seal)</t>
  </si>
  <si>
    <r>
      <t xml:space="preserve">                    </t>
    </r>
    <r>
      <rPr>
        <sz val="10"/>
        <color theme="1"/>
        <rFont val="Times New Roman"/>
        <family val="1"/>
      </rPr>
      <t xml:space="preserve"> Countersigned </t>
    </r>
  </si>
  <si>
    <r>
      <t xml:space="preserve">         </t>
    </r>
    <r>
      <rPr>
        <sz val="10"/>
        <color theme="1"/>
        <rFont val="Times New Roman"/>
        <family val="1"/>
      </rPr>
      <t xml:space="preserve"> (Signature of ANO with seal)</t>
    </r>
  </si>
  <si>
    <t>Date:</t>
  </si>
  <si>
    <t>Station:</t>
  </si>
  <si>
    <t xml:space="preserve"> quantity, quality and pricechanged.</t>
  </si>
  <si>
    <t xml:space="preserve">and good hygienic condition and issued to the cadets on credit basis and were satisfactory to all concerned with the </t>
  </si>
  <si>
    <t xml:space="preserve"> 26 Nov 2001has not been exceeded in this claim; the refreshments show in this bill has been actually received in fresh </t>
  </si>
  <si>
    <t xml:space="preserve">per cadet per annum prescribed by the Govt vide G.O. Ms. No.39 Youth Welfare &amp; Sports development dept dated </t>
  </si>
  <si>
    <t xml:space="preserve">shown on the above dates were actually supplied to the cadets who were physically present on the above dates; the </t>
  </si>
  <si>
    <t xml:space="preserve">Certified that the amount claimed in this bill was neither claimed nor drawn or paid through any bills; the refresments </t>
  </si>
  <si>
    <t xml:space="preserve">                       Signature of Caterer</t>
  </si>
  <si>
    <t>STAMP</t>
  </si>
  <si>
    <t>(Rupees:                                                                                                                                                                                 )</t>
  </si>
  <si>
    <t>TOTAL</t>
  </si>
  <si>
    <t>AMOUNT</t>
  </si>
  <si>
    <t>RATE PER ITEM</t>
  </si>
  <si>
    <t>QUANTITY</t>
  </si>
  <si>
    <t xml:space="preserve">ITEM OF REFRESHMENTS SUPPLIED </t>
  </si>
  <si>
    <t>NO OF CADETS SERVED</t>
  </si>
  <si>
    <t>DATE ON WHICH REFRESHMENTS SUPPLIED</t>
  </si>
  <si>
    <t>SL. No.</t>
  </si>
  <si>
    <t>BILL FOR SUPPLY OF REFERESHMENTS TO THE NCC SD CADETS</t>
  </si>
  <si>
    <t>4 (TN) Comp Tech Coy NCC,Annamalainagar</t>
  </si>
  <si>
    <t xml:space="preserve">Unit:4 (TN) CTC NCC, Annamalainagar </t>
  </si>
  <si>
    <t>FEAT,Annamalai University (Signal)</t>
  </si>
  <si>
    <r>
      <t xml:space="preserve">OF          </t>
    </r>
    <r>
      <rPr>
        <b/>
        <sz val="12"/>
        <color theme="1"/>
        <rFont val="Arial"/>
        <family val="2"/>
      </rPr>
      <t xml:space="preserve">FEAT </t>
    </r>
    <r>
      <rPr>
        <sz val="10"/>
        <color theme="1"/>
        <rFont val="Arial"/>
        <family val="2"/>
      </rPr>
      <t>(Signal)</t>
    </r>
  </si>
  <si>
    <t>Annamalainagar</t>
  </si>
  <si>
    <t>Total parade</t>
  </si>
  <si>
    <t>% Attendence</t>
  </si>
  <si>
    <r>
      <t xml:space="preserve">OF          </t>
    </r>
    <r>
      <rPr>
        <b/>
        <sz val="12"/>
        <color theme="1"/>
        <rFont val="Arial"/>
        <family val="2"/>
      </rPr>
      <t xml:space="preserve">FEAT </t>
    </r>
    <r>
      <rPr>
        <sz val="10"/>
        <color theme="1"/>
        <rFont val="Arial"/>
        <family val="2"/>
      </rPr>
      <t>(Engg)</t>
    </r>
  </si>
  <si>
    <r>
      <rPr>
        <sz val="7"/>
        <color indexed="8"/>
        <rFont val="Times New Roman"/>
        <family val="1"/>
      </rPr>
      <t>2               Hours</t>
    </r>
    <r>
      <rPr>
        <sz val="8"/>
        <color theme="1"/>
        <rFont val="Times New Roman"/>
        <family val="2"/>
      </rPr>
      <t xml:space="preserve">    </t>
    </r>
  </si>
  <si>
    <t xml:space="preserve">No.:6                    In Hrs:12         </t>
  </si>
  <si>
    <t>Wash Allw</t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</si>
  <si>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SEPTEMBER 2018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</si>
  <si>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OCTOBER 2018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</si>
  <si>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NOVEMBER 2018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</si>
  <si>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AUGUEST 2018</t>
    </r>
  </si>
  <si>
    <t>TN20SDA894031</t>
  </si>
  <si>
    <t>TN20SDA894032</t>
  </si>
  <si>
    <t>TN20SDA894033</t>
  </si>
  <si>
    <t>TN20SDA894034</t>
  </si>
  <si>
    <t>TN20SDA894035</t>
  </si>
  <si>
    <t>TN20SDA894036</t>
  </si>
  <si>
    <t>TN20SDA894037</t>
  </si>
  <si>
    <t>TN20SDA894038</t>
  </si>
  <si>
    <t>TN20SDA894039</t>
  </si>
  <si>
    <t>TN20SDA894040</t>
  </si>
  <si>
    <t>TN20SDA894041</t>
  </si>
  <si>
    <t>TN20SDA894042</t>
  </si>
  <si>
    <t>TN20SDA894043</t>
  </si>
  <si>
    <t>TN20SDA894044</t>
  </si>
  <si>
    <t>TN20SDA894045</t>
  </si>
  <si>
    <t>TN20SDA894046</t>
  </si>
  <si>
    <t>AVINASH V</t>
  </si>
  <si>
    <t xml:space="preserve">BHARATH. C </t>
  </si>
  <si>
    <t>DHILIP.K</t>
  </si>
  <si>
    <t>GOKUL T</t>
  </si>
  <si>
    <t>HARI HARAN.E</t>
  </si>
  <si>
    <t>JEGANADHAN.K</t>
  </si>
  <si>
    <t>KAMAL RAJ.S</t>
  </si>
  <si>
    <t>KARTHICK P</t>
  </si>
  <si>
    <t>KEERTHESWARAN.S</t>
  </si>
  <si>
    <t>MANI KANADA PRABHU S</t>
  </si>
  <si>
    <t>NAVEEN KUMAR.B</t>
  </si>
  <si>
    <t>RANJITH.V.P</t>
  </si>
  <si>
    <t>SIVASANMUGAN G</t>
  </si>
  <si>
    <t>UDHAYA KAVI M</t>
  </si>
  <si>
    <t>VARATHARAJAN.N</t>
  </si>
  <si>
    <t>VINODKUMAR.K.S</t>
  </si>
  <si>
    <t>KAVYA. R</t>
  </si>
  <si>
    <t>LEENA N</t>
  </si>
  <si>
    <t>MAHEEMA R</t>
  </si>
  <si>
    <t>RAGAVI A</t>
  </si>
  <si>
    <t>SANTHIYA S</t>
  </si>
  <si>
    <t>SUBANITHI B</t>
  </si>
  <si>
    <t>TN22SDA894031</t>
  </si>
  <si>
    <t>AJITH KUMAR.K</t>
  </si>
  <si>
    <t>TN22SDA894032</t>
  </si>
  <si>
    <t>ARJUN.S</t>
  </si>
  <si>
    <t>TN22SDA894033</t>
  </si>
  <si>
    <t>ARJUNAN.S</t>
  </si>
  <si>
    <t>TN22SDA894034</t>
  </si>
  <si>
    <t>BALA ABISHEK.S</t>
  </si>
  <si>
    <t>TN22SDA894035</t>
  </si>
  <si>
    <t>DHARUN.R.S</t>
  </si>
  <si>
    <t>TN22SDA894036</t>
  </si>
  <si>
    <t>JAYA RAMAN.T</t>
  </si>
  <si>
    <t>TN22SDA894037</t>
  </si>
  <si>
    <t>LAKSHMANAN.R</t>
  </si>
  <si>
    <t>TN22SDA894038</t>
  </si>
  <si>
    <t>MADHAVA BRIGHTLY.A</t>
  </si>
  <si>
    <t>TN22SDA894039</t>
  </si>
  <si>
    <t>MANMOHAN.M.S</t>
  </si>
  <si>
    <t>TN22SDA894040</t>
  </si>
  <si>
    <t>PRANESH.S</t>
  </si>
  <si>
    <t>TN22SDA894041</t>
  </si>
  <si>
    <t>PRASANTH.A</t>
  </si>
  <si>
    <t>TN22SDA894042</t>
  </si>
  <si>
    <t>RAGHUL.J</t>
  </si>
  <si>
    <t>TN22SDA894043</t>
  </si>
  <si>
    <t>SANJAY.K</t>
  </si>
  <si>
    <t>TN22SDA894044</t>
  </si>
  <si>
    <t>SATHEESH KUMAR.V</t>
  </si>
  <si>
    <t>TN22SWA894046</t>
  </si>
  <si>
    <t>ABINAYA.K</t>
  </si>
  <si>
    <t>TN22SWA894047</t>
  </si>
  <si>
    <t>AISHWARIYA.S</t>
  </si>
  <si>
    <t>TN22SWA894048</t>
  </si>
  <si>
    <t>ARUNA.R</t>
  </si>
  <si>
    <t>TN22SWA894049</t>
  </si>
  <si>
    <t>ASWATHI.E</t>
  </si>
  <si>
    <t>TN22SWA894050</t>
  </si>
  <si>
    <t>GUNASELVAM.G</t>
  </si>
  <si>
    <t>TN22SWA894051</t>
  </si>
  <si>
    <t>INDHUMATHI.V</t>
  </si>
  <si>
    <t>TN22SWA894052</t>
  </si>
  <si>
    <t>MITHRA.V</t>
  </si>
  <si>
    <t>RIYA ROSARIN.B</t>
  </si>
  <si>
    <t>TN21SDA894031</t>
  </si>
  <si>
    <t>TN21SDA894032</t>
  </si>
  <si>
    <t>TN21SDA894033</t>
  </si>
  <si>
    <t>TN21SDA894034</t>
  </si>
  <si>
    <t>TN21SDA894035</t>
  </si>
  <si>
    <t>TN21SDA894036</t>
  </si>
  <si>
    <t>TN21SDA894037</t>
  </si>
  <si>
    <t>TN21SDA894038</t>
  </si>
  <si>
    <t>TN21SDA894039</t>
  </si>
  <si>
    <t>TN21SDA894040</t>
  </si>
  <si>
    <t>TN21SDA894041</t>
  </si>
  <si>
    <t>TN21SDA894042</t>
  </si>
  <si>
    <t>TN21SDA894043</t>
  </si>
  <si>
    <t>TN21SDA894044</t>
  </si>
  <si>
    <t>BHARATH  S</t>
  </si>
  <si>
    <t>CHIRANJEEVI M B</t>
  </si>
  <si>
    <t>DHAMODHARAN A</t>
  </si>
  <si>
    <t>ELIYADURAI R</t>
  </si>
  <si>
    <t>HARIHARAN A</t>
  </si>
  <si>
    <t>KAVIOVIYAN  S</t>
  </si>
  <si>
    <t>MANOHARAN K</t>
  </si>
  <si>
    <t>MUTHU KUMAR S</t>
  </si>
  <si>
    <t>PANDIYAN S</t>
  </si>
  <si>
    <t>RAGUL  P</t>
  </si>
  <si>
    <t>SANJAY C</t>
  </si>
  <si>
    <t>VIGNESH  D</t>
  </si>
  <si>
    <t>VIMAL S</t>
  </si>
  <si>
    <t>VISHNU R</t>
  </si>
  <si>
    <t>AJEETHA C</t>
  </si>
  <si>
    <t>BABYSRINITHI A</t>
  </si>
  <si>
    <t>DEVADHARSHINI A</t>
  </si>
  <si>
    <t>GOWRI A</t>
  </si>
  <si>
    <t>SNEGA ABINAYA S</t>
  </si>
  <si>
    <t>SUJI SHRI B</t>
  </si>
  <si>
    <t>VIJAYALALITHA R</t>
  </si>
  <si>
    <t>VIJAYAPRIYA V</t>
  </si>
  <si>
    <t>2+2</t>
  </si>
  <si>
    <t>1+1</t>
  </si>
  <si>
    <t>6+1</t>
  </si>
  <si>
    <t>DOSA+VADAI</t>
  </si>
  <si>
    <t>3+1</t>
  </si>
  <si>
    <t>15+5</t>
  </si>
  <si>
    <t>40+10</t>
  </si>
  <si>
    <t>15+10</t>
  </si>
  <si>
    <t>7.5+5</t>
  </si>
  <si>
    <t>BANANA</t>
  </si>
  <si>
    <t>IDLY+VADAI</t>
  </si>
  <si>
    <t>POORI</t>
  </si>
  <si>
    <t>EGG</t>
  </si>
  <si>
    <t>IDLY</t>
  </si>
  <si>
    <t>VADAI</t>
  </si>
  <si>
    <t>1+2</t>
  </si>
  <si>
    <t>40+5</t>
  </si>
  <si>
    <t>POORI+BANANA</t>
  </si>
  <si>
    <t>DOSA</t>
  </si>
  <si>
    <t>\</t>
  </si>
  <si>
    <r>
      <t xml:space="preserve">Attendance Register for the month of </t>
    </r>
    <r>
      <rPr>
        <b/>
        <sz val="12"/>
        <color theme="1"/>
        <rFont val="Times New Roman"/>
        <family val="1"/>
      </rPr>
      <t>December</t>
    </r>
    <r>
      <rPr>
        <b/>
        <sz val="10"/>
        <color indexed="8"/>
        <rFont val="Times New Roman"/>
        <family val="1"/>
      </rPr>
      <t xml:space="preserve">  2022</t>
    </r>
  </si>
  <si>
    <r>
      <t xml:space="preserve">Attendance Register for the month of </t>
    </r>
    <r>
      <rPr>
        <b/>
        <sz val="12"/>
        <color theme="1"/>
        <rFont val="Times New Roman"/>
        <family val="1"/>
      </rPr>
      <t>January</t>
    </r>
    <r>
      <rPr>
        <b/>
        <sz val="10"/>
        <color indexed="8"/>
        <rFont val="Times New Roman"/>
        <family val="1"/>
      </rPr>
      <t xml:space="preserve">  2023</t>
    </r>
  </si>
  <si>
    <r>
      <t xml:space="preserve">Attendance Register for the month of </t>
    </r>
    <r>
      <rPr>
        <b/>
        <sz val="11"/>
        <color theme="1"/>
        <rFont val="Times New Roman"/>
        <family val="1"/>
      </rPr>
      <t>February</t>
    </r>
    <r>
      <rPr>
        <b/>
        <sz val="11"/>
        <color indexed="8"/>
        <rFont val="Times New Roman"/>
        <family val="1"/>
      </rPr>
      <t xml:space="preserve">  2023</t>
    </r>
  </si>
  <si>
    <r>
      <t xml:space="preserve">Attendance Register for the month of </t>
    </r>
    <r>
      <rPr>
        <b/>
        <sz val="12"/>
        <color theme="1"/>
        <rFont val="Times New Roman"/>
        <family val="1"/>
      </rPr>
      <t>February</t>
    </r>
    <r>
      <rPr>
        <b/>
        <sz val="10"/>
        <color indexed="8"/>
        <rFont val="Times New Roman"/>
        <family val="1"/>
      </rPr>
      <t xml:space="preserve">  2023</t>
    </r>
  </si>
  <si>
    <r>
      <t xml:space="preserve">Attendance Register for the month of </t>
    </r>
    <r>
      <rPr>
        <b/>
        <sz val="12"/>
        <color theme="1"/>
        <rFont val="Times New Roman"/>
        <family val="1"/>
      </rPr>
      <t xml:space="preserve"> January  2023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</si>
  <si>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FEBRUARY 2023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</si>
  <si>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JANUARY 2023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</si>
  <si>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DECEMBER 2022</t>
    </r>
  </si>
  <si>
    <t xml:space="preserve">No.:8                   In Hrs:16         </t>
  </si>
  <si>
    <t xml:space="preserve">No.:5                      In Hrs:10          </t>
  </si>
  <si>
    <t xml:space="preserve">No.:6                    In Hrs:12        </t>
  </si>
  <si>
    <t xml:space="preserve">No.:4                     In Hrs:8        </t>
  </si>
  <si>
    <t xml:space="preserve">No.:5                     In Hrs:10          </t>
  </si>
  <si>
    <t>ELEVEN THOUSAND FIVE HUNDERED AND FIFTY ONLY</t>
  </si>
  <si>
    <t>FOURTEEN THOUSAND ONE HUNDRED AND FIFTY ONLY</t>
  </si>
  <si>
    <t>TWELVE THOUSAND AND FIFTY ONLY</t>
  </si>
  <si>
    <t>20/12/22</t>
  </si>
  <si>
    <t>CHAPPATHI</t>
  </si>
  <si>
    <t>21/12/22</t>
  </si>
  <si>
    <t>IDALY</t>
  </si>
  <si>
    <t>22/12/22</t>
  </si>
  <si>
    <t>18/1/23</t>
  </si>
  <si>
    <t>VARIETYRICE</t>
  </si>
  <si>
    <t>23/12/22</t>
  </si>
  <si>
    <t>19/1/23</t>
  </si>
  <si>
    <t>26/12/22</t>
  </si>
  <si>
    <t>20/1/23</t>
  </si>
  <si>
    <t>27/12/22</t>
  </si>
  <si>
    <t>21/1/23</t>
  </si>
  <si>
    <t>28/12/22</t>
  </si>
  <si>
    <t>23/1/23</t>
  </si>
  <si>
    <t>13/2/23</t>
  </si>
  <si>
    <t>24/1/23</t>
  </si>
  <si>
    <t>14/2/23</t>
  </si>
  <si>
    <t>15/2/23</t>
  </si>
  <si>
    <t>VARIETYRICE+BANANA</t>
  </si>
  <si>
    <t>16/2/23</t>
  </si>
  <si>
    <t>18/2/23</t>
  </si>
  <si>
    <t>CHAPPATHI+EGG</t>
  </si>
  <si>
    <t>20/2/23</t>
  </si>
  <si>
    <t>20+5</t>
  </si>
  <si>
    <t>22/2/23</t>
  </si>
  <si>
    <t>24/2/23</t>
  </si>
  <si>
    <t>VARIETYRICE+EGG</t>
  </si>
  <si>
    <t>25/2/23</t>
  </si>
  <si>
    <t xml:space="preserve">Total number of Parades held in this month:6 </t>
  </si>
  <si>
    <t xml:space="preserve">Total number of Parades held in this month:5 </t>
  </si>
  <si>
    <t xml:space="preserve">Total number of Parades held in this month:4 </t>
  </si>
  <si>
    <t>SEVEN THOUSAND SIX HUNDRED ONLY</t>
  </si>
  <si>
    <t>EIGHT THOUSAND SIX HUNDRED ONLY</t>
  </si>
  <si>
    <t>SIXTEEN THOUSAND FOUR HUNDRED FIFTY ONLY</t>
  </si>
  <si>
    <t>FEAT</t>
  </si>
  <si>
    <t>(SIGNAL)</t>
  </si>
  <si>
    <t>ELEVEN THOUSAND FIVE HUNDRED ONLY</t>
  </si>
  <si>
    <t>TEN THOUSAND ONE HUNDRED FIFTY ONLY</t>
  </si>
  <si>
    <t>ELEVEN THOUSAND NINE FIFTY ONLY</t>
  </si>
  <si>
    <t>SEVEN THOUSAND NINE HUNDRED ONLY</t>
  </si>
  <si>
    <t>LCPL</t>
  </si>
  <si>
    <t>SGT</t>
  </si>
  <si>
    <t>CPL</t>
  </si>
  <si>
    <t>TN21SWA894045</t>
  </si>
  <si>
    <t>TN21SWA894046</t>
  </si>
  <si>
    <t>TN21SWA894047</t>
  </si>
  <si>
    <t>TN21SWA894048</t>
  </si>
  <si>
    <t>TN21SWA894049</t>
  </si>
  <si>
    <t>TN21SWA894050</t>
  </si>
  <si>
    <t>TN21SWA894051</t>
  </si>
  <si>
    <t>TN21SWA894052</t>
  </si>
  <si>
    <t>TN22SWA894045</t>
  </si>
  <si>
    <t>CSM</t>
  </si>
  <si>
    <t>CUO</t>
  </si>
  <si>
    <t>TN20SWA894047</t>
  </si>
  <si>
    <t>TN20SWA894048</t>
  </si>
  <si>
    <t>TN20SWA894049</t>
  </si>
  <si>
    <t>TN20SWA894050</t>
  </si>
  <si>
    <t>TN20SWA894051</t>
  </si>
  <si>
    <t>TN20SWA894052</t>
  </si>
  <si>
    <r>
      <t>Attendance Register for the month of</t>
    </r>
    <r>
      <rPr>
        <b/>
        <sz val="8"/>
        <color theme="1"/>
        <rFont val="Times New Roman"/>
        <family val="1"/>
      </rPr>
      <t xml:space="preserve"> AUGUST</t>
    </r>
    <r>
      <rPr>
        <b/>
        <sz val="10"/>
        <color indexed="8"/>
        <rFont val="Times New Roman"/>
        <family val="1"/>
      </rPr>
      <t xml:space="preserve"> 2023</t>
    </r>
  </si>
  <si>
    <t xml:space="preserve">No.:4                 In Hrs:8         </t>
  </si>
  <si>
    <t>Total number of Parades held in this month:</t>
  </si>
  <si>
    <t xml:space="preserve">No.:4                In Hrs:8          </t>
  </si>
  <si>
    <t>11\08\2023</t>
  </si>
  <si>
    <t>Idly</t>
  </si>
  <si>
    <t>14\08\2023</t>
  </si>
  <si>
    <t>01\08\2023</t>
  </si>
  <si>
    <t>02\08\2023</t>
  </si>
  <si>
    <t>03\08\2023</t>
  </si>
  <si>
    <t>09\08\2023</t>
  </si>
  <si>
    <t>10\08\2023</t>
  </si>
  <si>
    <t>15\08\2023</t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</si>
  <si>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SEPTEMBER 2023</t>
    </r>
  </si>
  <si>
    <t>TWELVE THOUSAND 0NE HUNDRED FIFTY ONLY</t>
  </si>
  <si>
    <t>Egg</t>
  </si>
  <si>
    <t>Chappathi</t>
  </si>
  <si>
    <t>Dosai</t>
  </si>
  <si>
    <t>Poori</t>
  </si>
  <si>
    <t>Omlet</t>
  </si>
  <si>
    <t>Vadai</t>
  </si>
  <si>
    <t>BILL FOR SUPPLY OF REFERESHMENTS TO THE NCC SD/SW CADETS</t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</si>
  <si>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AUGUST 2023</t>
    </r>
  </si>
  <si>
    <t>Banana</t>
  </si>
  <si>
    <t>Kichadi</t>
  </si>
  <si>
    <t>CMS</t>
  </si>
  <si>
    <r>
      <t>Attendance Register for the month of</t>
    </r>
    <r>
      <rPr>
        <b/>
        <sz val="8"/>
        <color theme="1"/>
        <rFont val="Times New Roman"/>
        <family val="1"/>
      </rPr>
      <t xml:space="preserve">  AUGUST</t>
    </r>
    <r>
      <rPr>
        <b/>
        <sz val="10"/>
        <color indexed="8"/>
        <rFont val="Times New Roman"/>
        <family val="1"/>
      </rPr>
      <t xml:space="preserve">  2023</t>
    </r>
  </si>
  <si>
    <t xml:space="preserve">No.:8                    In Hrs:16         </t>
  </si>
  <si>
    <r>
      <t xml:space="preserve">Attendance Register for the month of </t>
    </r>
    <r>
      <rPr>
        <b/>
        <sz val="8"/>
        <color theme="1"/>
        <rFont val="Times New Roman"/>
        <family val="1"/>
      </rPr>
      <t>SEPTEMBER 2023</t>
    </r>
  </si>
  <si>
    <t xml:space="preserve">No.: 4                   In Hrs: 8     </t>
  </si>
  <si>
    <r>
      <t>Attendance Register for the month of</t>
    </r>
    <r>
      <rPr>
        <b/>
        <sz val="10"/>
        <color indexed="8"/>
        <rFont val="Times New Roman"/>
        <family val="1"/>
      </rPr>
      <t xml:space="preserve"> OCTOBER 2023</t>
    </r>
  </si>
  <si>
    <r>
      <t xml:space="preserve">Attendance Register for the month of </t>
    </r>
    <r>
      <rPr>
        <b/>
        <sz val="8"/>
        <color theme="1"/>
        <rFont val="Times New Roman"/>
        <family val="1"/>
      </rPr>
      <t>OCTOBER 2023</t>
    </r>
  </si>
  <si>
    <r>
      <t>Attendance Register for the month of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SEPTEMBER 2023</t>
    </r>
  </si>
  <si>
    <t xml:space="preserve">No.: 4                   In Hrs: 8      </t>
  </si>
  <si>
    <t>Variety rice</t>
  </si>
  <si>
    <t>Tomato Rice</t>
  </si>
  <si>
    <t>veg Rice</t>
  </si>
  <si>
    <t xml:space="preserve"> Veg Rice</t>
  </si>
  <si>
    <t>12\09\2023</t>
  </si>
  <si>
    <t>13\09\2023</t>
  </si>
  <si>
    <t>14\09\2023</t>
  </si>
  <si>
    <t>20\09\2023</t>
  </si>
  <si>
    <t>21\09\2023</t>
  </si>
  <si>
    <t>22\09\2023</t>
  </si>
  <si>
    <t>25\09\2023</t>
  </si>
  <si>
    <t>26\09\2023</t>
  </si>
  <si>
    <t>3\10\2023</t>
  </si>
  <si>
    <t>4\10\2023</t>
  </si>
  <si>
    <t>10\10\2023</t>
  </si>
  <si>
    <t>11\10\2023</t>
  </si>
  <si>
    <t>CQMS</t>
  </si>
  <si>
    <r>
      <t xml:space="preserve">OF          </t>
    </r>
    <r>
      <rPr>
        <b/>
        <sz val="12"/>
        <color theme="1"/>
        <rFont val="Arial"/>
        <family val="2"/>
      </rPr>
      <t xml:space="preserve">FEAT </t>
    </r>
    <r>
      <rPr>
        <sz val="10"/>
        <color theme="1"/>
        <rFont val="Arial"/>
        <family val="2"/>
      </rPr>
      <t>(EME)</t>
    </r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</si>
  <si>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1"/>
        <color theme="1"/>
        <rFont val="Times New Roman"/>
        <family val="1"/>
      </rPr>
      <t>OCTOBER 2023</t>
    </r>
  </si>
  <si>
    <t>FEAT,Annamalai University (EME)</t>
  </si>
  <si>
    <t>Station:Annamalai Nagar</t>
  </si>
  <si>
    <t>Annamalai Nagar</t>
  </si>
  <si>
    <t>SIX THOUSAND TWO HUNDRED FIFTY ONLY.</t>
  </si>
  <si>
    <t>(Rupees:                                                                                                                                                              )</t>
  </si>
  <si>
    <t xml:space="preserve">SIX THOUSAND ONLY                   </t>
  </si>
  <si>
    <t>FEAT,Annamalai University (SIGNAL)</t>
  </si>
  <si>
    <r>
      <t>Attendance Register for the month of</t>
    </r>
    <r>
      <rPr>
        <sz val="11"/>
        <color theme="1"/>
        <rFont val="Times New Roman"/>
        <family val="1"/>
      </rPr>
      <t xml:space="preserve"> </t>
    </r>
    <r>
      <rPr>
        <b/>
        <sz val="8"/>
        <color theme="1"/>
        <rFont val="Times New Roman"/>
        <family val="1"/>
      </rPr>
      <t>JULY</t>
    </r>
    <r>
      <rPr>
        <b/>
        <sz val="8"/>
        <color indexed="8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2023</t>
    </r>
  </si>
  <si>
    <t>TN23SDA894031</t>
  </si>
  <si>
    <t>AMAREJ T</t>
  </si>
  <si>
    <t>TN23SDA894032</t>
  </si>
  <si>
    <t>ARAVINTH MADDHURESH P</t>
  </si>
  <si>
    <t>TN23SDA894033</t>
  </si>
  <si>
    <t>DEEPAK R</t>
  </si>
  <si>
    <t>TN23SDA894034</t>
  </si>
  <si>
    <t>GNANAJAYAM G J</t>
  </si>
  <si>
    <t>TN23SDA894035</t>
  </si>
  <si>
    <t>GOWTHAM V R</t>
  </si>
  <si>
    <t>TN23SDA894036</t>
  </si>
  <si>
    <t>LENIN KUMAR V</t>
  </si>
  <si>
    <t>TN23SDA894037</t>
  </si>
  <si>
    <t>MATHAN</t>
  </si>
  <si>
    <t>TN23SDA894038</t>
  </si>
  <si>
    <t>MEGANATHAN V</t>
  </si>
  <si>
    <t>TN23SDA894039</t>
  </si>
  <si>
    <t>MOHAMMED YASIR M</t>
  </si>
  <si>
    <t>TN23SDA894040</t>
  </si>
  <si>
    <t>PRAGADHEESH M</t>
  </si>
  <si>
    <t>TN23SDA894041</t>
  </si>
  <si>
    <t>PRAVEENRAJ R</t>
  </si>
  <si>
    <t>TN23SDA894042</t>
  </si>
  <si>
    <t>SIVARATHINAM P</t>
  </si>
  <si>
    <t>TN23SDA894043</t>
  </si>
  <si>
    <t>SIVA PRADEEP S</t>
  </si>
  <si>
    <t>TN23SDA894044</t>
  </si>
  <si>
    <t>SUDHARSAN S</t>
  </si>
  <si>
    <t>TN23SDA894045</t>
  </si>
  <si>
    <t>THIRUMARAN R</t>
  </si>
  <si>
    <t>TN23SWA894046</t>
  </si>
  <si>
    <t>ANANTHI S</t>
  </si>
  <si>
    <t>TN23SWA894047</t>
  </si>
  <si>
    <t>ANUJA M</t>
  </si>
  <si>
    <t>TN23SWA894048</t>
  </si>
  <si>
    <t>DEEPIKA A</t>
  </si>
  <si>
    <t>TN23SWA894049</t>
  </si>
  <si>
    <t>KANISHKA K</t>
  </si>
  <si>
    <t>TN23SWA894050</t>
  </si>
  <si>
    <t>SANTHIYA T</t>
  </si>
  <si>
    <t>TN23SWA894051</t>
  </si>
  <si>
    <t>SUBHA SHREE  S P</t>
  </si>
  <si>
    <t>TN23SWA894052</t>
  </si>
  <si>
    <t>SUWATHILAKSHMI G</t>
  </si>
  <si>
    <r>
      <t xml:space="preserve">Attendance Register for the month of </t>
    </r>
    <r>
      <rPr>
        <b/>
        <sz val="11"/>
        <color theme="1"/>
        <rFont val="Times New Roman"/>
        <family val="1"/>
      </rPr>
      <t>JULY</t>
    </r>
    <r>
      <rPr>
        <b/>
        <sz val="11"/>
        <color indexed="8"/>
        <rFont val="Times New Roman"/>
        <family val="1"/>
      </rPr>
      <t xml:space="preserve"> </t>
    </r>
    <r>
      <rPr>
        <b/>
        <sz val="12"/>
        <color indexed="8"/>
        <rFont val="Times New Roman"/>
        <family val="1"/>
      </rPr>
      <t xml:space="preserve"> 2024</t>
    </r>
  </si>
  <si>
    <t>08\07\2024</t>
  </si>
  <si>
    <t>Tomoto rice</t>
  </si>
  <si>
    <t>vadai</t>
  </si>
  <si>
    <t>09\07\2024</t>
  </si>
  <si>
    <t>10\07\2024</t>
  </si>
  <si>
    <t xml:space="preserve">veg rice </t>
  </si>
  <si>
    <t>egg</t>
  </si>
  <si>
    <t>11\07\2024</t>
  </si>
  <si>
    <t>dosa</t>
  </si>
  <si>
    <r>
      <rPr>
        <sz val="12"/>
        <color theme="1"/>
        <rFont val="Arial"/>
        <family val="2"/>
      </rPr>
      <t>FOR THE MONTH OF :</t>
    </r>
    <r>
      <rPr>
        <sz val="8"/>
        <color theme="1"/>
        <rFont val="Times New Roman"/>
        <family val="2"/>
      </rPr>
      <t xml:space="preserve"> </t>
    </r>
    <r>
      <rPr>
        <b/>
        <sz val="12"/>
        <color theme="1"/>
        <rFont val="Times New Roman"/>
        <family val="1"/>
      </rPr>
      <t>JULY 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</si>
</sst>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8"/>
      <color theme="1"/>
      <name val="Times New Roman"/>
      <family val="2"/>
    </font>
    <font>
      <b/>
      <sz val="10"/>
      <color indexed="8"/>
      <name val="Times New Roman"/>
      <family val="1"/>
    </font>
    <font>
      <sz val="7"/>
      <color indexed="8"/>
      <name val="Times New Roman"/>
      <family val="1"/>
    </font>
    <font>
      <sz val="14"/>
      <color theme="1"/>
      <name val="Times New Roman"/>
      <family val="1"/>
    </font>
    <font>
      <sz val="7"/>
      <color theme="1"/>
      <name val="Times New Roman"/>
      <family val="1"/>
    </font>
    <font>
      <sz val="10"/>
      <color theme="1"/>
      <name val="Times New Roman"/>
      <family val="2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6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rgb="FFFF0000"/>
      <name val="Times New Roman"/>
      <family val="2"/>
    </font>
    <font>
      <b/>
      <u/>
      <sz val="8"/>
      <color theme="1"/>
      <name val="Times New Roman"/>
      <family val="1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indexed="8"/>
      <name val="Times New Roman"/>
      <family val="1"/>
    </font>
    <font>
      <b/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2"/>
    </font>
    <font>
      <sz val="8"/>
      <name val="Times New Roman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color theme="1"/>
      <name val="Times New Roman"/>
      <family val="2"/>
    </font>
    <font>
      <b/>
      <sz val="13"/>
      <color rgb="FF000000"/>
      <name val="Calibri"/>
      <family val="2"/>
      <charset val="1"/>
    </font>
    <font>
      <b/>
      <sz val="8"/>
      <color theme="1"/>
      <name val="Times New Roman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 Light"/>
      <family val="2"/>
    </font>
    <font>
      <sz val="11"/>
      <color theme="1"/>
      <name val="Times New Roman"/>
      <family val="2"/>
    </font>
    <font>
      <sz val="12"/>
      <color theme="1"/>
      <name val="Calibri Light"/>
      <family val="2"/>
    </font>
    <font>
      <sz val="11"/>
      <color theme="1"/>
      <name val="Times New Roman"/>
      <family val="1"/>
    </font>
    <font>
      <b/>
      <sz val="8"/>
      <color indexed="8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4">
    <xf numFmtId="0" fontId="0" fillId="0" borderId="0"/>
    <xf numFmtId="0" fontId="26" fillId="0" borderId="0"/>
    <xf numFmtId="0" fontId="26" fillId="0" borderId="0"/>
    <xf numFmtId="0" fontId="37" fillId="0" borderId="0"/>
  </cellStyleXfs>
  <cellXfs count="238">
    <xf numFmtId="0" fontId="0" fillId="0" borderId="0" xfId="0"/>
    <xf numFmtId="0" fontId="0" fillId="0" borderId="1" xfId="0" applyBorder="1"/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4" fillId="0" borderId="4" xfId="0" applyFont="1" applyBorder="1" applyAlignment="1">
      <alignment horizontal="center"/>
    </xf>
    <xf numFmtId="0" fontId="0" fillId="0" borderId="6" xfId="0" applyBorder="1"/>
    <xf numFmtId="0" fontId="4" fillId="0" borderId="7" xfId="0" applyFont="1" applyBorder="1" applyAlignment="1">
      <alignment horizontal="center"/>
    </xf>
    <xf numFmtId="0" fontId="0" fillId="0" borderId="8" xfId="0" applyBorder="1"/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10" xfId="0" applyBorder="1"/>
    <xf numFmtId="0" fontId="4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5" fillId="0" borderId="14" xfId="0" applyFont="1" applyBorder="1"/>
    <xf numFmtId="0" fontId="5" fillId="0" borderId="14" xfId="0" applyFont="1" applyBorder="1" applyAlignment="1">
      <alignment horizontal="right"/>
    </xf>
    <xf numFmtId="0" fontId="5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1" xfId="0" applyFont="1" applyBorder="1" applyAlignment="1">
      <alignment vertical="center"/>
    </xf>
    <xf numFmtId="0" fontId="0" fillId="0" borderId="15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5" xfId="0" applyBorder="1"/>
    <xf numFmtId="0" fontId="5" fillId="0" borderId="22" xfId="0" applyFont="1" applyBorder="1" applyAlignment="1">
      <alignment horizontal="right"/>
    </xf>
    <xf numFmtId="0" fontId="0" fillId="0" borderId="18" xfId="0" applyBorder="1"/>
    <xf numFmtId="0" fontId="5" fillId="0" borderId="22" xfId="0" applyFont="1" applyBorder="1"/>
    <xf numFmtId="0" fontId="0" fillId="0" borderId="21" xfId="0" applyBorder="1"/>
    <xf numFmtId="0" fontId="5" fillId="0" borderId="1" xfId="0" applyFont="1" applyBorder="1" applyAlignment="1">
      <alignment horizontal="right"/>
    </xf>
    <xf numFmtId="0" fontId="0" fillId="0" borderId="17" xfId="0" applyBorder="1" applyAlignment="1">
      <alignment horizontal="center"/>
    </xf>
    <xf numFmtId="0" fontId="5" fillId="0" borderId="15" xfId="0" applyFont="1" applyBorder="1"/>
    <xf numFmtId="0" fontId="5" fillId="3" borderId="15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2" fillId="0" borderId="0" xfId="0" applyFont="1"/>
    <xf numFmtId="0" fontId="0" fillId="0" borderId="0" xfId="0" applyAlignment="1">
      <alignment horizontal="center"/>
    </xf>
    <xf numFmtId="0" fontId="6" fillId="0" borderId="1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22" fillId="3" borderId="15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5" fillId="0" borderId="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0" fillId="0" borderId="17" xfId="0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8" xfId="0" applyFont="1" applyBorder="1"/>
    <xf numFmtId="0" fontId="5" fillId="0" borderId="10" xfId="0" applyFont="1" applyBorder="1"/>
    <xf numFmtId="0" fontId="5" fillId="0" borderId="18" xfId="0" applyFont="1" applyBorder="1"/>
    <xf numFmtId="0" fontId="5" fillId="0" borderId="21" xfId="0" applyFont="1" applyBorder="1"/>
    <xf numFmtId="0" fontId="0" fillId="0" borderId="23" xfId="0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left"/>
    </xf>
    <xf numFmtId="0" fontId="0" fillId="0" borderId="23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16" fillId="0" borderId="15" xfId="0" applyFont="1" applyBorder="1"/>
    <xf numFmtId="0" fontId="16" fillId="0" borderId="3" xfId="0" applyFont="1" applyBorder="1"/>
    <xf numFmtId="0" fontId="16" fillId="0" borderId="15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22" fillId="0" borderId="15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4" fillId="0" borderId="1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0" borderId="15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0" fillId="0" borderId="21" xfId="0" applyBorder="1" applyAlignment="1">
      <alignment horizontal="center" vertical="center"/>
    </xf>
    <xf numFmtId="0" fontId="10" fillId="0" borderId="2" xfId="0" applyFont="1" applyBorder="1" applyAlignment="1">
      <alignment horizontal="center" vertical="top"/>
    </xf>
    <xf numFmtId="0" fontId="0" fillId="0" borderId="16" xfId="0" applyBorder="1" applyAlignment="1">
      <alignment horizontal="center"/>
    </xf>
    <xf numFmtId="0" fontId="0" fillId="0" borderId="0" xfId="0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0" xfId="0" applyFont="1" applyAlignment="1">
      <alignment horizontal="center"/>
    </xf>
    <xf numFmtId="0" fontId="5" fillId="4" borderId="1" xfId="0" applyFont="1" applyFill="1" applyBorder="1"/>
    <xf numFmtId="0" fontId="0" fillId="4" borderId="0" xfId="0" applyFill="1"/>
    <xf numFmtId="0" fontId="12" fillId="4" borderId="0" xfId="0" applyFont="1" applyFill="1"/>
    <xf numFmtId="0" fontId="0" fillId="4" borderId="0" xfId="0" applyFill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5" xfId="0" applyFont="1" applyBorder="1" applyAlignment="1">
      <alignment horizontal="right"/>
    </xf>
    <xf numFmtId="0" fontId="17" fillId="0" borderId="15" xfId="0" applyFont="1" applyBorder="1" applyAlignment="1">
      <alignment horizontal="center"/>
    </xf>
    <xf numFmtId="0" fontId="17" fillId="0" borderId="3" xfId="0" applyFont="1" applyBorder="1" applyAlignment="1">
      <alignment horizontal="right"/>
    </xf>
    <xf numFmtId="0" fontId="17" fillId="0" borderId="3" xfId="0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11" fillId="0" borderId="15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7" fillId="0" borderId="1" xfId="0" applyFont="1" applyBorder="1"/>
    <xf numFmtId="0" fontId="27" fillId="0" borderId="1" xfId="0" applyFont="1" applyBorder="1" applyAlignment="1">
      <alignment horizontal="center"/>
    </xf>
    <xf numFmtId="0" fontId="28" fillId="0" borderId="1" xfId="0" applyFont="1" applyBorder="1" applyAlignment="1">
      <alignment vertical="center"/>
    </xf>
    <xf numFmtId="0" fontId="27" fillId="0" borderId="14" xfId="0" applyFont="1" applyBorder="1" applyAlignment="1">
      <alignment horizontal="right"/>
    </xf>
    <xf numFmtId="0" fontId="29" fillId="0" borderId="8" xfId="0" applyFont="1" applyBorder="1"/>
    <xf numFmtId="0" fontId="27" fillId="0" borderId="14" xfId="0" applyFont="1" applyBorder="1"/>
    <xf numFmtId="0" fontId="29" fillId="0" borderId="10" xfId="0" applyFont="1" applyBorder="1"/>
    <xf numFmtId="0" fontId="28" fillId="0" borderId="24" xfId="0" applyFont="1" applyBorder="1" applyAlignment="1">
      <alignment vertical="center"/>
    </xf>
    <xf numFmtId="0" fontId="28" fillId="0" borderId="25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9" fillId="0" borderId="1" xfId="0" applyFont="1" applyBorder="1"/>
    <xf numFmtId="0" fontId="9" fillId="0" borderId="14" xfId="0" applyFont="1" applyBorder="1"/>
    <xf numFmtId="0" fontId="27" fillId="2" borderId="1" xfId="0" applyFont="1" applyFill="1" applyBorder="1" applyAlignment="1">
      <alignment horizontal="center"/>
    </xf>
    <xf numFmtId="0" fontId="29" fillId="0" borderId="0" xfId="0" applyFont="1"/>
    <xf numFmtId="0" fontId="29" fillId="0" borderId="1" xfId="0" applyFont="1" applyBorder="1" applyAlignment="1">
      <alignment horizontal="center"/>
    </xf>
    <xf numFmtId="0" fontId="30" fillId="0" borderId="1" xfId="1" applyFont="1" applyBorder="1" applyAlignment="1">
      <alignment horizontal="center" vertical="center"/>
    </xf>
    <xf numFmtId="0" fontId="27" fillId="0" borderId="8" xfId="0" applyFont="1" applyBorder="1"/>
    <xf numFmtId="0" fontId="27" fillId="0" borderId="10" xfId="0" applyFont="1" applyBorder="1"/>
    <xf numFmtId="0" fontId="7" fillId="0" borderId="1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9" fillId="0" borderId="1" xfId="0" applyFont="1" applyBorder="1" applyAlignment="1">
      <alignment horizontal="left" wrapText="1"/>
    </xf>
    <xf numFmtId="0" fontId="9" fillId="0" borderId="14" xfId="0" applyFont="1" applyBorder="1" applyAlignment="1">
      <alignment horizontal="right"/>
    </xf>
    <xf numFmtId="0" fontId="9" fillId="0" borderId="8" xfId="0" applyFont="1" applyBorder="1"/>
    <xf numFmtId="0" fontId="9" fillId="0" borderId="10" xfId="0" applyFont="1" applyBorder="1"/>
    <xf numFmtId="0" fontId="9" fillId="0" borderId="1" xfId="0" applyFont="1" applyBorder="1"/>
    <xf numFmtId="0" fontId="9" fillId="0" borderId="0" xfId="0" applyFont="1"/>
    <xf numFmtId="0" fontId="9" fillId="0" borderId="15" xfId="0" applyFont="1" applyBorder="1"/>
    <xf numFmtId="0" fontId="32" fillId="0" borderId="0" xfId="0" applyFont="1"/>
    <xf numFmtId="0" fontId="24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left" vertical="center"/>
    </xf>
    <xf numFmtId="0" fontId="17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/>
    </xf>
    <xf numFmtId="0" fontId="17" fillId="0" borderId="3" xfId="0" applyFont="1" applyBorder="1" applyAlignment="1">
      <alignment horizontal="center" vertical="top"/>
    </xf>
    <xf numFmtId="0" fontId="17" fillId="0" borderId="15" xfId="0" applyFont="1" applyBorder="1" applyAlignment="1">
      <alignment horizontal="center" vertical="top"/>
    </xf>
    <xf numFmtId="0" fontId="16" fillId="0" borderId="3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5" xfId="0" applyFont="1" applyBorder="1" applyAlignment="1">
      <alignment horizontal="center" vertical="top"/>
    </xf>
    <xf numFmtId="0" fontId="32" fillId="0" borderId="3" xfId="0" applyFont="1" applyBorder="1" applyAlignment="1">
      <alignment horizontal="center" vertical="top"/>
    </xf>
    <xf numFmtId="0" fontId="29" fillId="0" borderId="12" xfId="0" applyFont="1" applyBorder="1"/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7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5" xfId="0" applyBorder="1" applyAlignment="1">
      <alignment horizontal="center" textRotation="90"/>
    </xf>
    <xf numFmtId="0" fontId="0" fillId="0" borderId="6" xfId="0" applyBorder="1" applyAlignment="1">
      <alignment horizontal="center" textRotation="90"/>
    </xf>
    <xf numFmtId="0" fontId="0" fillId="0" borderId="16" xfId="0" applyBorder="1" applyAlignment="1">
      <alignment horizontal="center" textRotation="90"/>
    </xf>
    <xf numFmtId="0" fontId="11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12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top"/>
    </xf>
    <xf numFmtId="0" fontId="0" fillId="0" borderId="8" xfId="0" applyBorder="1" applyAlignment="1">
      <alignment horizontal="center" vertical="center"/>
    </xf>
    <xf numFmtId="0" fontId="10" fillId="0" borderId="8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6" fillId="0" borderId="15" xfId="0" applyFont="1" applyBorder="1"/>
    <xf numFmtId="0" fontId="16" fillId="0" borderId="3" xfId="0" applyFont="1" applyBorder="1"/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2" xfId="0" applyFont="1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17" fillId="0" borderId="3" xfId="0" applyFont="1" applyBorder="1" applyAlignment="1">
      <alignment horizontal="left"/>
    </xf>
    <xf numFmtId="0" fontId="14" fillId="0" borderId="0" xfId="0" applyFont="1" applyAlignment="1">
      <alignment vertical="top" wrapText="1"/>
    </xf>
    <xf numFmtId="0" fontId="17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38" fillId="0" borderId="1" xfId="2" applyFont="1" applyBorder="1" applyAlignment="1">
      <alignment horizontal="left" vertical="center"/>
    </xf>
    <xf numFmtId="0" fontId="20" fillId="0" borderId="3" xfId="0" applyFont="1" applyBorder="1"/>
    <xf numFmtId="0" fontId="8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20" fillId="0" borderId="1" xfId="0" applyFont="1" applyBorder="1"/>
    <xf numFmtId="0" fontId="20" fillId="0" borderId="6" xfId="0" applyFont="1" applyBorder="1"/>
  </cellXfs>
  <cellStyles count="4">
    <cellStyle name="Normal" xfId="0" builtinId="0"/>
    <cellStyle name="Normal 2" xfId="3" xr:uid="{1C2392D6-98C1-48B8-B31E-70BE6176948F}"/>
    <cellStyle name="Normal 3" xfId="2" xr:uid="{00000000-0005-0000-0000-000001000000}"/>
    <cellStyle name="Normal 4" xfId="1" xr:uid="{00000000-0005-0000-0000-000002000000}"/>
  </cellStyles>
  <dxfs count="0"/>
  <tableStyles count="0" defaultTableStyle="TableStyleMedium9" defaultPivotStyle="PivotStyleLight16"/>
  <colors>
    <mruColors>
      <color rgb="FFFFFF66"/>
      <color rgb="FFFF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AppData\Local\Microsoft\Windows\INetCache\IE\L15HU0HF\NCC%202019%20Refreshment%20claim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nal Refresh"/>
      <sheetName val="Signal Bill"/>
      <sheetName val="Signal Washing"/>
      <sheetName val="Engg Refres"/>
      <sheetName val="Engg Bill"/>
      <sheetName val="Engg Washing"/>
    </sheetNames>
    <sheetDataSet>
      <sheetData sheetId="0" refreshError="1"/>
      <sheetData sheetId="1" refreshError="1"/>
      <sheetData sheetId="2" refreshError="1"/>
      <sheetData sheetId="3" refreshError="1">
        <row r="132">
          <cell r="CD132">
            <v>0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D129"/>
  <sheetViews>
    <sheetView showGridLines="0" tabSelected="1" showWhiteSpace="0" topLeftCell="A12" zoomScale="80" zoomScaleNormal="80" zoomScaleSheetLayoutView="115" workbookViewId="0">
      <selection activeCell="H12" sqref="H12"/>
    </sheetView>
  </sheetViews>
  <sheetFormatPr defaultRowHeight="10.199999999999999" x14ac:dyDescent="0.2"/>
  <cols>
    <col min="1" max="1" width="4.33203125" customWidth="1"/>
    <col min="2" max="2" width="27" customWidth="1"/>
    <col min="3" max="3" width="8.6640625" customWidth="1"/>
    <col min="4" max="4" width="25.33203125" customWidth="1"/>
    <col min="5" max="5" width="6.83203125" customWidth="1"/>
    <col min="6" max="6" width="7" customWidth="1"/>
    <col min="7" max="7" width="6.83203125" customWidth="1"/>
    <col min="8" max="8" width="8.83203125" customWidth="1"/>
    <col min="9" max="9" width="5" customWidth="1"/>
    <col min="10" max="10" width="5.5" customWidth="1"/>
    <col min="11" max="11" width="5.83203125" customWidth="1"/>
    <col min="12" max="12" width="8.1640625" customWidth="1"/>
    <col min="13" max="13" width="1" customWidth="1"/>
    <col min="14" max="14" width="5" customWidth="1"/>
    <col min="15" max="15" width="1.6640625" customWidth="1"/>
    <col min="16" max="16" width="6.1640625" customWidth="1"/>
    <col min="17" max="17" width="1.33203125" customWidth="1"/>
    <col min="18" max="18" width="5" customWidth="1"/>
    <col min="19" max="19" width="1.1640625" customWidth="1"/>
    <col min="20" max="20" width="1.83203125" customWidth="1"/>
    <col min="21" max="21" width="4" customWidth="1"/>
    <col min="22" max="22" width="27.1640625" customWidth="1"/>
    <col min="23" max="23" width="7.6640625" customWidth="1"/>
    <col min="24" max="24" width="29" customWidth="1"/>
    <col min="25" max="25" width="7.83203125" customWidth="1"/>
    <col min="26" max="27" width="7.1640625" customWidth="1"/>
    <col min="28" max="28" width="6.6640625" customWidth="1"/>
    <col min="29" max="29" width="7.1640625" customWidth="1"/>
    <col min="30" max="30" width="7" customWidth="1"/>
    <col min="31" max="31" width="6.83203125" customWidth="1"/>
    <col min="32" max="32" width="6.33203125" customWidth="1"/>
    <col min="33" max="33" width="3.6640625" customWidth="1"/>
    <col min="34" max="34" width="4.6640625" customWidth="1"/>
    <col min="35" max="35" width="5.83203125" customWidth="1"/>
    <col min="36" max="36" width="6.33203125" customWidth="1"/>
    <col min="37" max="37" width="1.33203125" customWidth="1"/>
    <col min="38" max="38" width="5" customWidth="1"/>
    <col min="39" max="39" width="1.1640625" customWidth="1"/>
    <col min="40" max="40" width="6.5" customWidth="1"/>
    <col min="41" max="41" width="1.33203125" customWidth="1"/>
    <col min="42" max="42" width="4.83203125" customWidth="1"/>
    <col min="43" max="43" width="1.6640625" customWidth="1"/>
    <col min="44" max="44" width="2.83203125" customWidth="1"/>
    <col min="45" max="45" width="4" customWidth="1"/>
    <col min="46" max="46" width="27.33203125" bestFit="1" customWidth="1"/>
    <col min="47" max="47" width="7.5" customWidth="1"/>
    <col min="48" max="48" width="33" customWidth="1"/>
    <col min="49" max="53" width="5.5" customWidth="1"/>
    <col min="54" max="54" width="7.83203125" customWidth="1"/>
    <col min="55" max="55" width="6.6640625" customWidth="1"/>
    <col min="56" max="56" width="5.6640625" customWidth="1"/>
    <col min="57" max="57" width="5" customWidth="1"/>
    <col min="58" max="58" width="5.5" customWidth="1"/>
    <col min="59" max="59" width="5.83203125" customWidth="1"/>
    <col min="60" max="60" width="8.5" customWidth="1"/>
    <col min="61" max="61" width="1.1640625" customWidth="1"/>
    <col min="62" max="62" width="5" customWidth="1"/>
    <col min="63" max="63" width="2.6640625" customWidth="1"/>
    <col min="64" max="64" width="6.5" customWidth="1"/>
    <col min="65" max="65" width="1.33203125" customWidth="1"/>
    <col min="66" max="66" width="7.5" customWidth="1"/>
    <col min="67" max="67" width="1.6640625" customWidth="1"/>
    <col min="68" max="68" width="1.83203125" customWidth="1"/>
    <col min="69" max="69" width="3.6640625" customWidth="1"/>
    <col min="70" max="70" width="29.33203125" customWidth="1"/>
    <col min="71" max="71" width="8.1640625" customWidth="1"/>
    <col min="72" max="72" width="32.5" customWidth="1"/>
    <col min="73" max="73" width="5.83203125" customWidth="1"/>
    <col min="74" max="74" width="5.5" customWidth="1"/>
    <col min="75" max="75" width="7.5" customWidth="1"/>
    <col min="76" max="76" width="9" customWidth="1"/>
    <col min="77" max="77" width="7.1640625" customWidth="1"/>
    <col min="78" max="78" width="5.5" customWidth="1"/>
    <col min="79" max="79" width="5.83203125" customWidth="1"/>
    <col min="80" max="80" width="8.5" customWidth="1"/>
    <col min="81" max="81" width="2" customWidth="1"/>
    <col min="82" max="82" width="5" customWidth="1"/>
    <col min="83" max="83" width="3.5" customWidth="1"/>
    <col min="84" max="84" width="6.5" customWidth="1"/>
    <col min="85" max="85" width="1.33203125" customWidth="1"/>
    <col min="86" max="86" width="5.5" customWidth="1"/>
    <col min="87" max="87" width="4" customWidth="1"/>
    <col min="88" max="88" width="4.1640625" customWidth="1"/>
    <col min="89" max="89" width="5" customWidth="1"/>
    <col min="90" max="90" width="20.6640625" customWidth="1"/>
    <col min="91" max="91" width="9.5" customWidth="1"/>
    <col min="92" max="92" width="26.5" customWidth="1"/>
    <col min="93" max="95" width="5.5" customWidth="1"/>
    <col min="96" max="96" width="5.1640625" customWidth="1"/>
    <col min="97" max="98" width="5.6640625" customWidth="1"/>
    <col min="99" max="99" width="5.5" customWidth="1"/>
    <col min="100" max="100" width="4.33203125" customWidth="1"/>
    <col min="101" max="101" width="5.83203125" customWidth="1"/>
    <col min="102" max="102" width="5.6640625" customWidth="1"/>
    <col min="103" max="104" width="7.6640625" customWidth="1"/>
    <col min="105" max="105" width="2.83203125" customWidth="1"/>
    <col min="106" max="106" width="4.6640625" customWidth="1"/>
    <col min="107" max="107" width="2.5" customWidth="1"/>
    <col min="108" max="108" width="7" customWidth="1"/>
    <col min="109" max="109" width="3.5" customWidth="1"/>
    <col min="110" max="110" width="6.5" customWidth="1"/>
    <col min="111" max="111" width="1.5" customWidth="1"/>
    <col min="112" max="112" width="2.83203125" customWidth="1"/>
    <col min="113" max="113" width="4" customWidth="1"/>
    <col min="114" max="114" width="20.33203125" customWidth="1"/>
    <col min="115" max="115" width="8.6640625" customWidth="1"/>
    <col min="116" max="116" width="24.33203125" customWidth="1"/>
    <col min="117" max="119" width="5.1640625" customWidth="1"/>
    <col min="120" max="120" width="6.1640625" customWidth="1"/>
    <col min="121" max="123" width="5.1640625" customWidth="1"/>
    <col min="124" max="124" width="4" customWidth="1"/>
    <col min="125" max="125" width="5.5" customWidth="1"/>
    <col min="126" max="126" width="7" customWidth="1"/>
    <col min="127" max="127" width="7.6640625" customWidth="1"/>
    <col min="128" max="128" width="6.1640625" customWidth="1"/>
    <col min="129" max="129" width="2.1640625" customWidth="1"/>
    <col min="130" max="130" width="5.5" customWidth="1"/>
    <col min="131" max="131" width="4" customWidth="1"/>
    <col min="132" max="132" width="6.1640625" customWidth="1"/>
    <col min="133" max="133" width="2" customWidth="1"/>
    <col min="134" max="134" width="4.6640625" customWidth="1"/>
    <col min="135" max="135" width="3.1640625" customWidth="1"/>
    <col min="136" max="136" width="2.5" customWidth="1"/>
    <col min="137" max="137" width="4" customWidth="1"/>
    <col min="138" max="138" width="21" customWidth="1"/>
    <col min="140" max="140" width="26" customWidth="1"/>
    <col min="141" max="141" width="6.1640625" customWidth="1"/>
    <col min="142" max="142" width="7.1640625" customWidth="1"/>
    <col min="143" max="143" width="6.1640625" customWidth="1"/>
    <col min="144" max="144" width="5.33203125" customWidth="1"/>
    <col min="145" max="145" width="5.6640625" customWidth="1"/>
    <col min="146" max="146" width="6" customWidth="1"/>
    <col min="147" max="147" width="5.83203125" customWidth="1"/>
    <col min="148" max="148" width="5.6640625" customWidth="1"/>
    <col min="149" max="149" width="7.33203125" customWidth="1"/>
    <col min="150" max="150" width="5.5" customWidth="1"/>
    <col min="151" max="151" width="5.33203125" customWidth="1"/>
    <col min="152" max="152" width="7.1640625" customWidth="1"/>
    <col min="153" max="153" width="7.33203125" customWidth="1"/>
    <col min="154" max="154" width="6.6640625" customWidth="1"/>
    <col min="155" max="155" width="5.83203125" customWidth="1"/>
    <col min="156" max="156" width="4.6640625" customWidth="1"/>
    <col min="157" max="157" width="6.5" customWidth="1"/>
    <col min="158" max="158" width="6" customWidth="1"/>
    <col min="159" max="159" width="7.6640625" customWidth="1"/>
    <col min="160" max="160" width="6.1640625" customWidth="1"/>
    <col min="161" max="161" width="3.6640625" customWidth="1"/>
    <col min="162" max="162" width="6.5" customWidth="1"/>
    <col min="163" max="163" width="4.1640625" customWidth="1"/>
    <col min="164" max="164" width="7.33203125" customWidth="1"/>
    <col min="165" max="165" width="2.5" customWidth="1"/>
    <col min="166" max="166" width="6.6640625" customWidth="1"/>
    <col min="167" max="167" width="2.1640625" customWidth="1"/>
    <col min="168" max="168" width="3.1640625" customWidth="1"/>
  </cols>
  <sheetData>
    <row r="1" spans="1:171" x14ac:dyDescent="0.2">
      <c r="A1" s="92"/>
    </row>
    <row r="2" spans="1:171" ht="15.75" customHeight="1" x14ac:dyDescent="0.25">
      <c r="D2" s="166" t="s">
        <v>0</v>
      </c>
      <c r="E2" s="166"/>
      <c r="F2" s="166"/>
      <c r="G2" s="166"/>
      <c r="H2" s="166"/>
      <c r="I2" s="166"/>
      <c r="J2" s="166"/>
      <c r="X2" s="166" t="s">
        <v>0</v>
      </c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V2" s="166" t="s">
        <v>0</v>
      </c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T2" s="166" t="s">
        <v>0</v>
      </c>
      <c r="BU2" s="166"/>
      <c r="BV2" s="166"/>
      <c r="BW2" s="166"/>
      <c r="BX2" s="166"/>
      <c r="BY2" s="166"/>
      <c r="BZ2" s="166"/>
      <c r="CN2" s="166" t="s">
        <v>0</v>
      </c>
      <c r="CO2" s="166"/>
      <c r="CP2" s="166"/>
      <c r="CQ2" s="166"/>
      <c r="CR2" s="166"/>
      <c r="CS2" s="166"/>
      <c r="CT2" s="166"/>
      <c r="CU2" s="166"/>
      <c r="CV2" s="166"/>
      <c r="CW2" s="166"/>
      <c r="CX2" s="166"/>
      <c r="DL2" s="166" t="s">
        <v>0</v>
      </c>
      <c r="DM2" s="166"/>
      <c r="DN2" s="166"/>
      <c r="DO2" s="166"/>
      <c r="DP2" s="166"/>
      <c r="DQ2" s="166"/>
      <c r="DR2" s="166"/>
      <c r="DS2" s="166"/>
      <c r="DT2" s="166"/>
      <c r="DU2" s="166"/>
      <c r="DV2" s="166"/>
      <c r="EJ2" s="166" t="s">
        <v>0</v>
      </c>
      <c r="EK2" s="166"/>
      <c r="EL2" s="166"/>
      <c r="EM2" s="166"/>
      <c r="EN2" s="166"/>
      <c r="EO2" s="166"/>
      <c r="EP2" s="166"/>
      <c r="EQ2" s="166"/>
      <c r="ER2" s="166"/>
      <c r="ES2" s="166"/>
      <c r="ET2" s="166"/>
      <c r="EU2" s="166"/>
      <c r="EV2" s="166"/>
      <c r="EW2" s="166"/>
      <c r="EX2" s="166"/>
      <c r="EY2" s="166"/>
      <c r="EZ2" s="166"/>
      <c r="FA2" s="166"/>
      <c r="FB2" s="166"/>
    </row>
    <row r="3" spans="1:171" ht="10.5" customHeight="1" x14ac:dyDescent="0.2">
      <c r="A3" t="s">
        <v>53</v>
      </c>
      <c r="L3" t="s">
        <v>1</v>
      </c>
      <c r="M3" s="167" t="s">
        <v>56</v>
      </c>
      <c r="N3" s="167"/>
      <c r="O3" s="167"/>
      <c r="P3" s="167"/>
      <c r="Q3" s="167"/>
      <c r="R3" s="167"/>
      <c r="U3" t="s">
        <v>53</v>
      </c>
      <c r="AJ3" t="s">
        <v>1</v>
      </c>
      <c r="AK3" s="167" t="s">
        <v>56</v>
      </c>
      <c r="AL3" s="167"/>
      <c r="AM3" s="167"/>
      <c r="AN3" s="167"/>
      <c r="AO3" s="167"/>
      <c r="AP3" s="167"/>
      <c r="AS3" t="s">
        <v>53</v>
      </c>
      <c r="BH3" t="s">
        <v>1</v>
      </c>
      <c r="BI3" s="167" t="s">
        <v>56</v>
      </c>
      <c r="BJ3" s="167"/>
      <c r="BK3" s="167"/>
      <c r="BL3" s="167"/>
      <c r="BM3" s="167"/>
      <c r="BN3" s="167"/>
      <c r="BQ3" t="s">
        <v>53</v>
      </c>
      <c r="CB3" t="s">
        <v>1</v>
      </c>
      <c r="CC3" s="167" t="s">
        <v>56</v>
      </c>
      <c r="CD3" s="167"/>
      <c r="CE3" s="167"/>
      <c r="CF3" s="167"/>
      <c r="CG3" s="167"/>
      <c r="CH3" s="167"/>
      <c r="CK3" t="s">
        <v>53</v>
      </c>
      <c r="CZ3" t="s">
        <v>1</v>
      </c>
      <c r="DA3" s="167" t="s">
        <v>56</v>
      </c>
      <c r="DB3" s="167"/>
      <c r="DC3" s="167"/>
      <c r="DD3" s="167"/>
      <c r="DE3" s="167"/>
      <c r="DF3" s="167"/>
      <c r="DI3" t="s">
        <v>53</v>
      </c>
      <c r="DX3" t="s">
        <v>1</v>
      </c>
      <c r="DY3" s="167" t="s">
        <v>56</v>
      </c>
      <c r="DZ3" s="167"/>
      <c r="EA3" s="167"/>
      <c r="EB3" s="167"/>
      <c r="EC3" s="167"/>
      <c r="ED3" s="167"/>
      <c r="EG3" t="s">
        <v>53</v>
      </c>
      <c r="FD3" t="s">
        <v>1</v>
      </c>
      <c r="FE3" s="167" t="s">
        <v>56</v>
      </c>
      <c r="FF3" s="167"/>
      <c r="FG3" s="167"/>
      <c r="FH3" s="167"/>
      <c r="FI3" s="167"/>
      <c r="FJ3" s="167"/>
    </row>
    <row r="4" spans="1:171" ht="26.25" customHeight="1" x14ac:dyDescent="0.2">
      <c r="D4" s="168" t="s">
        <v>386</v>
      </c>
      <c r="E4" s="168"/>
      <c r="F4" s="168"/>
      <c r="G4" s="168"/>
      <c r="H4" s="168"/>
      <c r="I4" s="169" t="s">
        <v>24</v>
      </c>
      <c r="J4" s="169"/>
      <c r="K4" s="169"/>
      <c r="L4" s="169"/>
      <c r="M4" s="169"/>
      <c r="N4" s="169"/>
      <c r="O4" s="54"/>
      <c r="P4" s="170" t="s">
        <v>282</v>
      </c>
      <c r="Q4" s="170"/>
      <c r="R4" s="170"/>
      <c r="X4" s="168" t="s">
        <v>281</v>
      </c>
      <c r="Y4" s="168"/>
      <c r="Z4" s="168"/>
      <c r="AA4" s="168"/>
      <c r="AB4" s="168"/>
      <c r="AC4" s="168"/>
      <c r="AD4" s="168"/>
      <c r="AE4" s="168"/>
      <c r="AF4" s="40"/>
      <c r="AG4" s="169" t="s">
        <v>283</v>
      </c>
      <c r="AH4" s="169"/>
      <c r="AI4" s="169"/>
      <c r="AJ4" s="169"/>
      <c r="AK4" s="169"/>
      <c r="AL4" s="169"/>
      <c r="AM4" s="54"/>
      <c r="AN4" s="170" t="s">
        <v>212</v>
      </c>
      <c r="AO4" s="170"/>
      <c r="AP4" s="170"/>
      <c r="AV4" s="168" t="s">
        <v>309</v>
      </c>
      <c r="AW4" s="168"/>
      <c r="AX4" s="168"/>
      <c r="AY4" s="168"/>
      <c r="AZ4" s="168"/>
      <c r="BA4" s="168"/>
      <c r="BB4" s="168"/>
      <c r="BC4" s="168"/>
      <c r="BD4" s="40"/>
      <c r="BE4" s="169" t="s">
        <v>249</v>
      </c>
      <c r="BF4" s="169"/>
      <c r="BG4" s="169"/>
      <c r="BH4" s="169"/>
      <c r="BI4" s="169"/>
      <c r="BJ4" s="169"/>
      <c r="BK4" s="54"/>
      <c r="BL4" s="170" t="s">
        <v>308</v>
      </c>
      <c r="BM4" s="170"/>
      <c r="BN4" s="170"/>
      <c r="BT4" s="168" t="s">
        <v>311</v>
      </c>
      <c r="BU4" s="168"/>
      <c r="BV4" s="168"/>
      <c r="BW4" s="168"/>
      <c r="BX4" s="168"/>
      <c r="BY4" s="169" t="s">
        <v>24</v>
      </c>
      <c r="BZ4" s="169"/>
      <c r="CA4" s="169"/>
      <c r="CB4" s="169"/>
      <c r="CC4" s="169"/>
      <c r="CD4" s="169"/>
      <c r="CE4" s="54"/>
      <c r="CF4" s="170" t="s">
        <v>310</v>
      </c>
      <c r="CG4" s="170"/>
      <c r="CH4" s="170"/>
      <c r="CN4" s="168" t="s">
        <v>204</v>
      </c>
      <c r="CO4" s="168"/>
      <c r="CP4" s="168"/>
      <c r="CQ4" s="168"/>
      <c r="CR4" s="168"/>
      <c r="CS4" s="168"/>
      <c r="CT4" s="168"/>
      <c r="CU4" s="168"/>
      <c r="CV4" s="168"/>
      <c r="CW4" s="169" t="s">
        <v>250</v>
      </c>
      <c r="CX4" s="169"/>
      <c r="CY4" s="169"/>
      <c r="CZ4" s="169"/>
      <c r="DA4" s="169"/>
      <c r="DB4" s="169"/>
      <c r="DC4" s="54"/>
      <c r="DD4" s="170" t="s">
        <v>213</v>
      </c>
      <c r="DE4" s="170"/>
      <c r="DF4" s="170"/>
      <c r="DL4" s="168" t="s">
        <v>205</v>
      </c>
      <c r="DM4" s="168"/>
      <c r="DN4" s="168"/>
      <c r="DO4" s="168"/>
      <c r="DP4" s="168"/>
      <c r="DQ4" s="168"/>
      <c r="DR4" s="168"/>
      <c r="DS4" s="168"/>
      <c r="DU4" s="169" t="s">
        <v>249</v>
      </c>
      <c r="DV4" s="169"/>
      <c r="DW4" s="169"/>
      <c r="DX4" s="169"/>
      <c r="DY4" s="169"/>
      <c r="DZ4" s="169"/>
      <c r="EA4" s="54"/>
      <c r="EB4" s="170" t="s">
        <v>214</v>
      </c>
      <c r="EC4" s="170"/>
      <c r="ED4" s="170"/>
      <c r="EJ4" s="168" t="s">
        <v>206</v>
      </c>
      <c r="EK4" s="168"/>
      <c r="EL4" s="168"/>
      <c r="EM4" s="168"/>
      <c r="EN4" s="168"/>
      <c r="EO4" s="168"/>
      <c r="EP4" s="168"/>
      <c r="EQ4" s="168"/>
      <c r="ER4" s="168"/>
      <c r="ES4" s="40"/>
      <c r="ET4" s="40"/>
      <c r="EU4" s="40"/>
      <c r="EV4" s="40"/>
      <c r="EW4" s="40"/>
      <c r="EX4" s="40"/>
      <c r="EY4" s="40"/>
      <c r="EZ4" s="40"/>
      <c r="FA4" s="169" t="s">
        <v>251</v>
      </c>
      <c r="FB4" s="169"/>
      <c r="FC4" s="169"/>
      <c r="FD4" s="169"/>
      <c r="FE4" s="169"/>
      <c r="FF4" s="169"/>
      <c r="FG4" s="54"/>
      <c r="FH4" s="170" t="s">
        <v>215</v>
      </c>
      <c r="FI4" s="170"/>
      <c r="FJ4" s="170"/>
    </row>
    <row r="5" spans="1:171" ht="12.75" customHeight="1" x14ac:dyDescent="0.25">
      <c r="A5" t="s">
        <v>2</v>
      </c>
      <c r="D5" t="s">
        <v>54</v>
      </c>
      <c r="J5" s="140"/>
      <c r="U5" t="s">
        <v>2</v>
      </c>
      <c r="X5" t="s">
        <v>54</v>
      </c>
      <c r="AS5" t="s">
        <v>2</v>
      </c>
      <c r="AV5" t="s">
        <v>54</v>
      </c>
      <c r="BQ5" t="s">
        <v>2</v>
      </c>
      <c r="BT5" t="s">
        <v>54</v>
      </c>
      <c r="CK5" t="s">
        <v>2</v>
      </c>
      <c r="CN5" t="s">
        <v>54</v>
      </c>
      <c r="DI5" t="s">
        <v>2</v>
      </c>
      <c r="DL5" t="s">
        <v>54</v>
      </c>
      <c r="EG5" t="s">
        <v>2</v>
      </c>
      <c r="EJ5" t="s">
        <v>54</v>
      </c>
    </row>
    <row r="6" spans="1:171" ht="3" customHeight="1" x14ac:dyDescent="0.35">
      <c r="E6" s="2"/>
      <c r="F6" s="2"/>
      <c r="G6" s="2"/>
      <c r="H6" s="2"/>
      <c r="Y6" s="2"/>
      <c r="Z6" s="2"/>
      <c r="AA6" s="2"/>
      <c r="AB6" s="2"/>
      <c r="AC6" s="2"/>
      <c r="AD6" s="2"/>
      <c r="AE6" s="3"/>
      <c r="AF6" s="3"/>
      <c r="AW6" s="2"/>
      <c r="AX6" s="2"/>
      <c r="AY6" s="2"/>
      <c r="AZ6" s="2"/>
      <c r="BA6" s="2"/>
      <c r="BB6" s="2"/>
      <c r="BC6" s="3"/>
      <c r="BD6" s="3"/>
      <c r="BU6" s="2"/>
      <c r="BV6" s="2"/>
      <c r="BW6" s="2"/>
      <c r="BX6" s="2"/>
      <c r="CP6" s="2"/>
      <c r="CQ6" s="2"/>
      <c r="CR6" s="2"/>
      <c r="CS6" s="2"/>
      <c r="CT6" s="2"/>
      <c r="CU6" s="2"/>
      <c r="CV6" s="3"/>
      <c r="DM6" s="2"/>
      <c r="DN6" s="2"/>
      <c r="DO6" s="2"/>
      <c r="DP6" s="2"/>
      <c r="DQ6" s="2"/>
      <c r="DR6" s="2"/>
      <c r="DS6" s="3"/>
      <c r="DT6" s="2"/>
      <c r="EK6" s="2"/>
      <c r="EL6" s="2"/>
      <c r="EM6" s="2"/>
      <c r="EN6" s="2"/>
      <c r="EO6" s="2"/>
      <c r="EP6" s="2"/>
      <c r="EQ6" s="2"/>
      <c r="ER6" s="2"/>
    </row>
    <row r="7" spans="1:171" ht="32.25" customHeight="1" x14ac:dyDescent="0.2">
      <c r="A7" s="188" t="s">
        <v>3</v>
      </c>
      <c r="B7" s="156" t="s">
        <v>4</v>
      </c>
      <c r="C7" s="171" t="s">
        <v>5</v>
      </c>
      <c r="D7" s="171" t="s">
        <v>6</v>
      </c>
      <c r="E7" s="192" t="s">
        <v>7</v>
      </c>
      <c r="F7" s="193"/>
      <c r="G7" s="193"/>
      <c r="H7" s="193"/>
      <c r="I7" s="158" t="s">
        <v>9</v>
      </c>
      <c r="J7" s="159"/>
      <c r="K7" s="156" t="s">
        <v>12</v>
      </c>
      <c r="L7" s="158" t="s">
        <v>13</v>
      </c>
      <c r="M7" s="176"/>
      <c r="N7" s="176"/>
      <c r="O7" s="159"/>
      <c r="P7" s="178" t="s">
        <v>16</v>
      </c>
      <c r="Q7" s="179"/>
      <c r="R7" s="179"/>
      <c r="S7" s="180"/>
      <c r="T7" s="184" t="s">
        <v>19</v>
      </c>
      <c r="U7" s="188" t="s">
        <v>3</v>
      </c>
      <c r="V7" s="156" t="s">
        <v>4</v>
      </c>
      <c r="W7" s="171" t="s">
        <v>5</v>
      </c>
      <c r="X7" s="171" t="s">
        <v>6</v>
      </c>
      <c r="Y7" s="192" t="s">
        <v>7</v>
      </c>
      <c r="Z7" s="193"/>
      <c r="AA7" s="193"/>
      <c r="AB7" s="193"/>
      <c r="AC7" s="193"/>
      <c r="AD7" s="193"/>
      <c r="AE7" s="193"/>
      <c r="AF7" s="193"/>
      <c r="AG7" s="158" t="s">
        <v>9</v>
      </c>
      <c r="AH7" s="159"/>
      <c r="AI7" s="156" t="s">
        <v>12</v>
      </c>
      <c r="AJ7" s="158" t="s">
        <v>13</v>
      </c>
      <c r="AK7" s="176"/>
      <c r="AL7" s="176"/>
      <c r="AM7" s="159"/>
      <c r="AN7" s="178" t="s">
        <v>16</v>
      </c>
      <c r="AO7" s="179"/>
      <c r="AP7" s="179"/>
      <c r="AQ7" s="180"/>
      <c r="AR7" s="184" t="s">
        <v>19</v>
      </c>
      <c r="AS7" s="188" t="s">
        <v>3</v>
      </c>
      <c r="AT7" s="156" t="s">
        <v>4</v>
      </c>
      <c r="AU7" s="171" t="s">
        <v>5</v>
      </c>
      <c r="AV7" s="171" t="s">
        <v>6</v>
      </c>
      <c r="AW7" s="192" t="s">
        <v>7</v>
      </c>
      <c r="AX7" s="193"/>
      <c r="AY7" s="193"/>
      <c r="AZ7" s="193"/>
      <c r="BA7" s="193"/>
      <c r="BB7" s="193"/>
      <c r="BC7" s="193"/>
      <c r="BD7" s="193"/>
      <c r="BE7" s="158" t="s">
        <v>9</v>
      </c>
      <c r="BF7" s="159"/>
      <c r="BG7" s="156" t="s">
        <v>12</v>
      </c>
      <c r="BH7" s="158" t="s">
        <v>13</v>
      </c>
      <c r="BI7" s="176"/>
      <c r="BJ7" s="176"/>
      <c r="BK7" s="159"/>
      <c r="BL7" s="178" t="s">
        <v>16</v>
      </c>
      <c r="BM7" s="179"/>
      <c r="BN7" s="179"/>
      <c r="BO7" s="180"/>
      <c r="BP7" s="184" t="s">
        <v>19</v>
      </c>
      <c r="BQ7" s="188" t="s">
        <v>3</v>
      </c>
      <c r="BR7" s="156" t="s">
        <v>4</v>
      </c>
      <c r="BS7" s="171" t="s">
        <v>5</v>
      </c>
      <c r="BT7" s="171" t="s">
        <v>6</v>
      </c>
      <c r="BU7" s="192" t="s">
        <v>7</v>
      </c>
      <c r="BV7" s="193"/>
      <c r="BW7" s="193"/>
      <c r="BX7" s="193"/>
      <c r="BY7" s="158" t="s">
        <v>9</v>
      </c>
      <c r="BZ7" s="159"/>
      <c r="CA7" s="156" t="s">
        <v>12</v>
      </c>
      <c r="CB7" s="158" t="s">
        <v>13</v>
      </c>
      <c r="CC7" s="176"/>
      <c r="CD7" s="176"/>
      <c r="CE7" s="159"/>
      <c r="CF7" s="178" t="s">
        <v>16</v>
      </c>
      <c r="CG7" s="179"/>
      <c r="CH7" s="179"/>
      <c r="CI7" s="180"/>
      <c r="CJ7" s="184" t="s">
        <v>19</v>
      </c>
      <c r="CK7" s="188" t="s">
        <v>3</v>
      </c>
      <c r="CL7" s="156" t="s">
        <v>4</v>
      </c>
      <c r="CM7" s="171" t="s">
        <v>5</v>
      </c>
      <c r="CN7" s="171" t="s">
        <v>6</v>
      </c>
      <c r="CO7" s="67"/>
      <c r="CP7" s="192" t="s">
        <v>7</v>
      </c>
      <c r="CQ7" s="193"/>
      <c r="CR7" s="193"/>
      <c r="CS7" s="193"/>
      <c r="CT7" s="193"/>
      <c r="CU7" s="193"/>
      <c r="CV7" s="193"/>
      <c r="CW7" s="158" t="s">
        <v>9</v>
      </c>
      <c r="CX7" s="159"/>
      <c r="CY7" s="156" t="s">
        <v>12</v>
      </c>
      <c r="CZ7" s="158" t="s">
        <v>13</v>
      </c>
      <c r="DA7" s="176"/>
      <c r="DB7" s="176"/>
      <c r="DC7" s="159"/>
      <c r="DD7" s="178" t="s">
        <v>16</v>
      </c>
      <c r="DE7" s="179"/>
      <c r="DF7" s="179"/>
      <c r="DG7" s="180"/>
      <c r="DH7" s="184" t="s">
        <v>19</v>
      </c>
      <c r="DI7" s="188" t="s">
        <v>3</v>
      </c>
      <c r="DJ7" s="156" t="s">
        <v>4</v>
      </c>
      <c r="DK7" s="171" t="s">
        <v>5</v>
      </c>
      <c r="DL7" s="171" t="s">
        <v>6</v>
      </c>
      <c r="DM7" s="192" t="s">
        <v>7</v>
      </c>
      <c r="DN7" s="193"/>
      <c r="DO7" s="193"/>
      <c r="DP7" s="193"/>
      <c r="DQ7" s="193"/>
      <c r="DR7" s="193"/>
      <c r="DS7" s="193"/>
      <c r="DT7" s="196"/>
      <c r="DU7" s="158" t="s">
        <v>9</v>
      </c>
      <c r="DV7" s="159"/>
      <c r="DW7" s="156" t="s">
        <v>12</v>
      </c>
      <c r="DX7" s="158" t="s">
        <v>13</v>
      </c>
      <c r="DY7" s="176"/>
      <c r="DZ7" s="176"/>
      <c r="EA7" s="159"/>
      <c r="EB7" s="178" t="s">
        <v>16</v>
      </c>
      <c r="EC7" s="179"/>
      <c r="ED7" s="179"/>
      <c r="EE7" s="180"/>
      <c r="EF7" s="184" t="s">
        <v>19</v>
      </c>
      <c r="EG7" s="188" t="s">
        <v>3</v>
      </c>
      <c r="EH7" s="156" t="s">
        <v>4</v>
      </c>
      <c r="EI7" s="171" t="s">
        <v>5</v>
      </c>
      <c r="EJ7" s="171" t="s">
        <v>6</v>
      </c>
      <c r="EK7" s="192" t="s">
        <v>7</v>
      </c>
      <c r="EL7" s="193"/>
      <c r="EM7" s="193"/>
      <c r="EN7" s="193"/>
      <c r="EO7" s="193"/>
      <c r="EP7" s="193"/>
      <c r="EQ7" s="193"/>
      <c r="ER7" s="193"/>
      <c r="ES7" s="89"/>
      <c r="ET7" s="89"/>
      <c r="EU7" s="89"/>
      <c r="EV7" s="89"/>
      <c r="EW7" s="89"/>
      <c r="EX7" s="89"/>
      <c r="EY7" s="89"/>
      <c r="EZ7" s="89"/>
      <c r="FA7" s="158" t="s">
        <v>9</v>
      </c>
      <c r="FB7" s="159"/>
      <c r="FC7" s="156" t="s">
        <v>12</v>
      </c>
      <c r="FD7" s="158" t="s">
        <v>13</v>
      </c>
      <c r="FE7" s="176"/>
      <c r="FF7" s="176"/>
      <c r="FG7" s="159"/>
      <c r="FH7" s="178" t="s">
        <v>16</v>
      </c>
      <c r="FI7" s="179"/>
      <c r="FJ7" s="179"/>
      <c r="FK7" s="180"/>
      <c r="FL7" s="184" t="s">
        <v>19</v>
      </c>
    </row>
    <row r="8" spans="1:171" ht="10.5" customHeight="1" x14ac:dyDescent="0.2">
      <c r="A8" s="189"/>
      <c r="B8" s="191"/>
      <c r="C8" s="172"/>
      <c r="D8" s="172"/>
      <c r="E8" s="194" t="s">
        <v>8</v>
      </c>
      <c r="F8" s="195"/>
      <c r="G8" s="195"/>
      <c r="H8" s="195"/>
      <c r="I8" s="174"/>
      <c r="J8" s="175"/>
      <c r="K8" s="191"/>
      <c r="L8" s="174"/>
      <c r="M8" s="177"/>
      <c r="N8" s="177"/>
      <c r="O8" s="175"/>
      <c r="P8" s="181"/>
      <c r="Q8" s="182"/>
      <c r="R8" s="182"/>
      <c r="S8" s="183"/>
      <c r="T8" s="185"/>
      <c r="U8" s="189"/>
      <c r="V8" s="191"/>
      <c r="W8" s="172"/>
      <c r="X8" s="172"/>
      <c r="Y8" s="194" t="s">
        <v>8</v>
      </c>
      <c r="Z8" s="195"/>
      <c r="AA8" s="195"/>
      <c r="AB8" s="195"/>
      <c r="AC8" s="195"/>
      <c r="AD8" s="195"/>
      <c r="AE8" s="195"/>
      <c r="AF8" s="195"/>
      <c r="AG8" s="174"/>
      <c r="AH8" s="175"/>
      <c r="AI8" s="191"/>
      <c r="AJ8" s="174"/>
      <c r="AK8" s="177"/>
      <c r="AL8" s="177"/>
      <c r="AM8" s="175"/>
      <c r="AN8" s="181"/>
      <c r="AO8" s="182"/>
      <c r="AP8" s="182"/>
      <c r="AQ8" s="183"/>
      <c r="AR8" s="185"/>
      <c r="AS8" s="189"/>
      <c r="AT8" s="191"/>
      <c r="AU8" s="172"/>
      <c r="AV8" s="172"/>
      <c r="AW8" s="194" t="s">
        <v>8</v>
      </c>
      <c r="AX8" s="195"/>
      <c r="AY8" s="195"/>
      <c r="AZ8" s="195"/>
      <c r="BA8" s="195"/>
      <c r="BB8" s="195"/>
      <c r="BC8" s="195"/>
      <c r="BD8" s="195"/>
      <c r="BE8" s="174"/>
      <c r="BF8" s="175"/>
      <c r="BG8" s="191"/>
      <c r="BH8" s="174"/>
      <c r="BI8" s="177"/>
      <c r="BJ8" s="177"/>
      <c r="BK8" s="175"/>
      <c r="BL8" s="181"/>
      <c r="BM8" s="182"/>
      <c r="BN8" s="182"/>
      <c r="BO8" s="183"/>
      <c r="BP8" s="185"/>
      <c r="BQ8" s="189"/>
      <c r="BR8" s="191"/>
      <c r="BS8" s="172"/>
      <c r="BT8" s="172"/>
      <c r="BU8" s="194" t="s">
        <v>8</v>
      </c>
      <c r="BV8" s="195"/>
      <c r="BW8" s="195"/>
      <c r="BX8" s="195"/>
      <c r="BY8" s="174"/>
      <c r="BZ8" s="175"/>
      <c r="CA8" s="191"/>
      <c r="CB8" s="174"/>
      <c r="CC8" s="177"/>
      <c r="CD8" s="177"/>
      <c r="CE8" s="175"/>
      <c r="CF8" s="181"/>
      <c r="CG8" s="182"/>
      <c r="CH8" s="182"/>
      <c r="CI8" s="183"/>
      <c r="CJ8" s="185"/>
      <c r="CK8" s="189"/>
      <c r="CL8" s="191"/>
      <c r="CM8" s="172"/>
      <c r="CN8" s="172"/>
      <c r="CO8" s="41"/>
      <c r="CP8" s="194" t="s">
        <v>8</v>
      </c>
      <c r="CQ8" s="195"/>
      <c r="CR8" s="195"/>
      <c r="CS8" s="195"/>
      <c r="CT8" s="195"/>
      <c r="CU8" s="195"/>
      <c r="CV8" s="195"/>
      <c r="CW8" s="174"/>
      <c r="CX8" s="175"/>
      <c r="CY8" s="191"/>
      <c r="CZ8" s="174"/>
      <c r="DA8" s="177"/>
      <c r="DB8" s="177"/>
      <c r="DC8" s="175"/>
      <c r="DD8" s="181"/>
      <c r="DE8" s="182"/>
      <c r="DF8" s="182"/>
      <c r="DG8" s="183"/>
      <c r="DH8" s="185"/>
      <c r="DI8" s="189"/>
      <c r="DJ8" s="191"/>
      <c r="DK8" s="172"/>
      <c r="DL8" s="172"/>
      <c r="DM8" s="194" t="s">
        <v>8</v>
      </c>
      <c r="DN8" s="195"/>
      <c r="DO8" s="195"/>
      <c r="DP8" s="195"/>
      <c r="DQ8" s="195"/>
      <c r="DR8" s="195"/>
      <c r="DS8" s="195"/>
      <c r="DT8" s="197"/>
      <c r="DU8" s="174"/>
      <c r="DV8" s="175"/>
      <c r="DW8" s="191"/>
      <c r="DX8" s="174"/>
      <c r="DY8" s="177"/>
      <c r="DZ8" s="177"/>
      <c r="EA8" s="175"/>
      <c r="EB8" s="181"/>
      <c r="EC8" s="182"/>
      <c r="ED8" s="182"/>
      <c r="EE8" s="183"/>
      <c r="EF8" s="185"/>
      <c r="EG8" s="189"/>
      <c r="EH8" s="191"/>
      <c r="EI8" s="172"/>
      <c r="EJ8" s="172"/>
      <c r="EK8" s="194" t="s">
        <v>8</v>
      </c>
      <c r="EL8" s="195"/>
      <c r="EM8" s="195"/>
      <c r="EN8" s="195"/>
      <c r="EO8" s="195"/>
      <c r="EP8" s="195"/>
      <c r="EQ8" s="195"/>
      <c r="ER8" s="195"/>
      <c r="ES8" s="90"/>
      <c r="ET8" s="90"/>
      <c r="EU8" s="90"/>
      <c r="EV8" s="90"/>
      <c r="EW8" s="90"/>
      <c r="EX8" s="90"/>
      <c r="EY8" s="90"/>
      <c r="EZ8" s="90"/>
      <c r="FA8" s="174"/>
      <c r="FB8" s="175"/>
      <c r="FC8" s="191"/>
      <c r="FD8" s="174"/>
      <c r="FE8" s="177"/>
      <c r="FF8" s="177"/>
      <c r="FG8" s="175"/>
      <c r="FH8" s="181"/>
      <c r="FI8" s="182"/>
      <c r="FJ8" s="182"/>
      <c r="FK8" s="183"/>
      <c r="FL8" s="185"/>
    </row>
    <row r="9" spans="1:171" ht="21" customHeight="1" x14ac:dyDescent="0.2">
      <c r="A9" s="189"/>
      <c r="B9" s="191"/>
      <c r="C9" s="172"/>
      <c r="D9" s="172"/>
      <c r="E9" s="41">
        <v>8</v>
      </c>
      <c r="F9" s="41">
        <v>9</v>
      </c>
      <c r="G9" s="41">
        <v>10</v>
      </c>
      <c r="H9" s="41">
        <v>11</v>
      </c>
      <c r="I9" s="156" t="s">
        <v>10</v>
      </c>
      <c r="J9" s="156" t="s">
        <v>11</v>
      </c>
      <c r="K9" s="191"/>
      <c r="L9" s="158" t="s">
        <v>14</v>
      </c>
      <c r="M9" s="159"/>
      <c r="N9" s="162" t="s">
        <v>15</v>
      </c>
      <c r="O9" s="163"/>
      <c r="P9" s="158" t="s">
        <v>20</v>
      </c>
      <c r="Q9" s="159"/>
      <c r="R9" s="162" t="s">
        <v>15</v>
      </c>
      <c r="S9" s="163"/>
      <c r="T9" s="185"/>
      <c r="U9" s="189"/>
      <c r="V9" s="191"/>
      <c r="W9" s="172"/>
      <c r="X9" s="172"/>
      <c r="Y9" s="41">
        <v>1</v>
      </c>
      <c r="Z9" s="41">
        <v>2</v>
      </c>
      <c r="AA9" s="41">
        <v>3</v>
      </c>
      <c r="AB9" s="41">
        <v>9</v>
      </c>
      <c r="AC9" s="41">
        <v>10</v>
      </c>
      <c r="AD9" s="40">
        <v>11</v>
      </c>
      <c r="AE9" s="41">
        <v>14</v>
      </c>
      <c r="AF9" s="41">
        <v>15</v>
      </c>
      <c r="AG9" s="156" t="s">
        <v>10</v>
      </c>
      <c r="AH9" s="156" t="s">
        <v>11</v>
      </c>
      <c r="AI9" s="191"/>
      <c r="AJ9" s="158" t="s">
        <v>14</v>
      </c>
      <c r="AK9" s="159"/>
      <c r="AL9" s="162" t="s">
        <v>15</v>
      </c>
      <c r="AM9" s="163"/>
      <c r="AN9" s="158" t="s">
        <v>20</v>
      </c>
      <c r="AO9" s="159"/>
      <c r="AP9" s="162" t="s">
        <v>15</v>
      </c>
      <c r="AQ9" s="163"/>
      <c r="AR9" s="185"/>
      <c r="AS9" s="189"/>
      <c r="AT9" s="191"/>
      <c r="AU9" s="172"/>
      <c r="AV9" s="172"/>
      <c r="AW9" s="41">
        <v>12</v>
      </c>
      <c r="AX9" s="41">
        <v>13</v>
      </c>
      <c r="AY9" s="41">
        <v>14</v>
      </c>
      <c r="AZ9" s="41">
        <v>20</v>
      </c>
      <c r="BA9" s="41">
        <v>21</v>
      </c>
      <c r="BB9" s="41">
        <v>22</v>
      </c>
      <c r="BC9" s="41">
        <v>25</v>
      </c>
      <c r="BD9" s="41">
        <v>26</v>
      </c>
      <c r="BE9" s="156" t="s">
        <v>10</v>
      </c>
      <c r="BF9" s="156" t="s">
        <v>11</v>
      </c>
      <c r="BG9" s="191"/>
      <c r="BH9" s="158" t="s">
        <v>14</v>
      </c>
      <c r="BI9" s="159"/>
      <c r="BJ9" s="162" t="s">
        <v>15</v>
      </c>
      <c r="BK9" s="163"/>
      <c r="BL9" s="158" t="s">
        <v>20</v>
      </c>
      <c r="BM9" s="159"/>
      <c r="BN9" s="162" t="s">
        <v>15</v>
      </c>
      <c r="BO9" s="163"/>
      <c r="BP9" s="185"/>
      <c r="BQ9" s="189"/>
      <c r="BR9" s="191"/>
      <c r="BS9" s="172"/>
      <c r="BT9" s="172"/>
      <c r="BU9" s="41">
        <v>3</v>
      </c>
      <c r="BV9" s="41">
        <v>4</v>
      </c>
      <c r="BW9" s="41">
        <v>10</v>
      </c>
      <c r="BX9" s="41">
        <v>11</v>
      </c>
      <c r="BY9" s="156" t="s">
        <v>10</v>
      </c>
      <c r="BZ9" s="156" t="s">
        <v>11</v>
      </c>
      <c r="CA9" s="191"/>
      <c r="CB9" s="158" t="s">
        <v>14</v>
      </c>
      <c r="CC9" s="159"/>
      <c r="CD9" s="162" t="s">
        <v>15</v>
      </c>
      <c r="CE9" s="163"/>
      <c r="CF9" s="158" t="s">
        <v>20</v>
      </c>
      <c r="CG9" s="159"/>
      <c r="CH9" s="162" t="s">
        <v>15</v>
      </c>
      <c r="CI9" s="163"/>
      <c r="CJ9" s="185"/>
      <c r="CK9" s="189"/>
      <c r="CL9" s="191"/>
      <c r="CM9" s="172"/>
      <c r="CN9" s="172"/>
      <c r="CO9" s="41">
        <v>7</v>
      </c>
      <c r="CP9" s="41">
        <v>8</v>
      </c>
      <c r="CQ9" s="41">
        <v>13</v>
      </c>
      <c r="CR9" s="41">
        <v>14</v>
      </c>
      <c r="CS9" s="41">
        <v>15</v>
      </c>
      <c r="CT9" s="41"/>
      <c r="CU9" s="40"/>
      <c r="CV9" s="41"/>
      <c r="CW9" s="156" t="s">
        <v>10</v>
      </c>
      <c r="CX9" s="156" t="s">
        <v>11</v>
      </c>
      <c r="CY9" s="191"/>
      <c r="CZ9" s="158" t="s">
        <v>14</v>
      </c>
      <c r="DA9" s="159"/>
      <c r="DB9" s="162" t="s">
        <v>15</v>
      </c>
      <c r="DC9" s="163"/>
      <c r="DD9" s="158" t="s">
        <v>20</v>
      </c>
      <c r="DE9" s="159"/>
      <c r="DF9" s="162" t="s">
        <v>15</v>
      </c>
      <c r="DG9" s="163"/>
      <c r="DH9" s="185"/>
      <c r="DI9" s="189"/>
      <c r="DJ9" s="191"/>
      <c r="DK9" s="172"/>
      <c r="DL9" s="172"/>
      <c r="DM9" s="41">
        <v>4</v>
      </c>
      <c r="DN9" s="41">
        <v>5</v>
      </c>
      <c r="DO9" s="41">
        <v>18</v>
      </c>
      <c r="DP9" s="41">
        <v>19</v>
      </c>
      <c r="DQ9" s="41">
        <v>20</v>
      </c>
      <c r="DR9" s="41">
        <v>21</v>
      </c>
      <c r="DS9" s="41"/>
      <c r="DT9" s="41"/>
      <c r="DU9" s="156" t="s">
        <v>10</v>
      </c>
      <c r="DV9" s="156" t="s">
        <v>11</v>
      </c>
      <c r="DW9" s="191"/>
      <c r="DX9" s="158" t="s">
        <v>14</v>
      </c>
      <c r="DY9" s="159"/>
      <c r="DZ9" s="162" t="s">
        <v>15</v>
      </c>
      <c r="EA9" s="163"/>
      <c r="EB9" s="158" t="s">
        <v>20</v>
      </c>
      <c r="EC9" s="159"/>
      <c r="ED9" s="162" t="s">
        <v>15</v>
      </c>
      <c r="EE9" s="163"/>
      <c r="EF9" s="185"/>
      <c r="EG9" s="189"/>
      <c r="EH9" s="191"/>
      <c r="EI9" s="172"/>
      <c r="EJ9" s="172"/>
      <c r="EK9" s="41">
        <v>1</v>
      </c>
      <c r="EL9" s="41">
        <v>2</v>
      </c>
      <c r="EM9" s="41">
        <v>3</v>
      </c>
      <c r="EN9" s="65">
        <v>6</v>
      </c>
      <c r="EO9" s="65"/>
      <c r="EP9" s="65"/>
      <c r="EQ9" s="65"/>
      <c r="ER9" s="41"/>
      <c r="ES9" s="86"/>
      <c r="ET9" s="86"/>
      <c r="EU9" s="86"/>
      <c r="EV9" s="86"/>
      <c r="EW9" s="86"/>
      <c r="EX9" s="86"/>
      <c r="EY9" s="86"/>
      <c r="EZ9" s="86"/>
      <c r="FA9" s="156" t="s">
        <v>10</v>
      </c>
      <c r="FB9" s="156" t="s">
        <v>11</v>
      </c>
      <c r="FC9" s="191"/>
      <c r="FD9" s="158" t="s">
        <v>14</v>
      </c>
      <c r="FE9" s="159"/>
      <c r="FF9" s="162" t="s">
        <v>15</v>
      </c>
      <c r="FG9" s="163"/>
      <c r="FH9" s="158" t="s">
        <v>20</v>
      </c>
      <c r="FI9" s="159"/>
      <c r="FJ9" s="162" t="s">
        <v>15</v>
      </c>
      <c r="FK9" s="163"/>
      <c r="FL9" s="185"/>
    </row>
    <row r="10" spans="1:171" ht="21.6" customHeight="1" x14ac:dyDescent="0.25">
      <c r="A10" s="190"/>
      <c r="B10" s="157"/>
      <c r="C10" s="173"/>
      <c r="D10" s="173"/>
      <c r="E10" s="17">
        <v>2</v>
      </c>
      <c r="F10" s="17">
        <v>2</v>
      </c>
      <c r="G10" s="17">
        <v>2</v>
      </c>
      <c r="H10" s="17">
        <v>2</v>
      </c>
      <c r="I10" s="157"/>
      <c r="J10" s="157"/>
      <c r="K10" s="157"/>
      <c r="L10" s="160"/>
      <c r="M10" s="161"/>
      <c r="N10" s="164"/>
      <c r="O10" s="165"/>
      <c r="P10" s="160"/>
      <c r="Q10" s="161"/>
      <c r="R10" s="164"/>
      <c r="S10" s="165"/>
      <c r="T10" s="186"/>
      <c r="U10" s="190"/>
      <c r="V10" s="157"/>
      <c r="W10" s="173"/>
      <c r="X10" s="173"/>
      <c r="Y10" s="17">
        <v>2</v>
      </c>
      <c r="Z10" s="17">
        <v>2</v>
      </c>
      <c r="AA10" s="17">
        <v>2</v>
      </c>
      <c r="AB10" s="17">
        <v>2</v>
      </c>
      <c r="AC10" s="18">
        <v>2</v>
      </c>
      <c r="AD10" s="18">
        <v>2</v>
      </c>
      <c r="AE10" s="18">
        <v>2</v>
      </c>
      <c r="AF10" s="18">
        <v>2</v>
      </c>
      <c r="AG10" s="157"/>
      <c r="AH10" s="157"/>
      <c r="AI10" s="157"/>
      <c r="AJ10" s="160"/>
      <c r="AK10" s="161"/>
      <c r="AL10" s="164"/>
      <c r="AM10" s="165"/>
      <c r="AN10" s="160"/>
      <c r="AO10" s="161"/>
      <c r="AP10" s="164"/>
      <c r="AQ10" s="165"/>
      <c r="AR10" s="186"/>
      <c r="AS10" s="190"/>
      <c r="AT10" s="157"/>
      <c r="AU10" s="173"/>
      <c r="AV10" s="173"/>
      <c r="AW10" s="17">
        <v>2</v>
      </c>
      <c r="AX10" s="17">
        <v>2</v>
      </c>
      <c r="AY10" s="17">
        <v>2</v>
      </c>
      <c r="AZ10" s="17">
        <v>2</v>
      </c>
      <c r="BA10" s="17">
        <v>2</v>
      </c>
      <c r="BB10" s="17">
        <v>2</v>
      </c>
      <c r="BC10" s="17"/>
      <c r="BD10" s="17"/>
      <c r="BE10" s="157"/>
      <c r="BF10" s="157"/>
      <c r="BG10" s="157"/>
      <c r="BH10" s="160"/>
      <c r="BI10" s="161"/>
      <c r="BJ10" s="164"/>
      <c r="BK10" s="165"/>
      <c r="BL10" s="160"/>
      <c r="BM10" s="161"/>
      <c r="BN10" s="164"/>
      <c r="BO10" s="165"/>
      <c r="BP10" s="186"/>
      <c r="BQ10" s="190"/>
      <c r="BR10" s="157"/>
      <c r="BS10" s="173"/>
      <c r="BT10" s="173"/>
      <c r="BU10" s="17">
        <v>2</v>
      </c>
      <c r="BV10" s="17">
        <v>2</v>
      </c>
      <c r="BW10" s="17">
        <v>2</v>
      </c>
      <c r="BX10" s="17">
        <v>2</v>
      </c>
      <c r="BY10" s="157"/>
      <c r="BZ10" s="157"/>
      <c r="CA10" s="157"/>
      <c r="CB10" s="160"/>
      <c r="CC10" s="161"/>
      <c r="CD10" s="164"/>
      <c r="CE10" s="165"/>
      <c r="CF10" s="160"/>
      <c r="CG10" s="161"/>
      <c r="CH10" s="164"/>
      <c r="CI10" s="165"/>
      <c r="CJ10" s="186"/>
      <c r="CK10" s="190"/>
      <c r="CL10" s="157"/>
      <c r="CM10" s="173"/>
      <c r="CN10" s="173"/>
      <c r="CO10" s="16">
        <v>2</v>
      </c>
      <c r="CP10" s="17">
        <v>2</v>
      </c>
      <c r="CQ10" s="17">
        <v>2</v>
      </c>
      <c r="CR10" s="17">
        <v>2</v>
      </c>
      <c r="CS10" s="17">
        <v>2</v>
      </c>
      <c r="CT10" s="18"/>
      <c r="CU10" s="19"/>
      <c r="CV10" s="18"/>
      <c r="CW10" s="157"/>
      <c r="CX10" s="157"/>
      <c r="CY10" s="157"/>
      <c r="CZ10" s="160"/>
      <c r="DA10" s="161"/>
      <c r="DB10" s="164"/>
      <c r="DC10" s="165"/>
      <c r="DD10" s="160"/>
      <c r="DE10" s="161"/>
      <c r="DF10" s="164"/>
      <c r="DG10" s="165"/>
      <c r="DH10" s="186"/>
      <c r="DI10" s="190"/>
      <c r="DJ10" s="157"/>
      <c r="DK10" s="173"/>
      <c r="DL10" s="173"/>
      <c r="DM10" s="17">
        <v>2</v>
      </c>
      <c r="DN10" s="17">
        <v>2</v>
      </c>
      <c r="DO10" s="17">
        <v>2</v>
      </c>
      <c r="DP10" s="17">
        <v>2</v>
      </c>
      <c r="DQ10" s="18">
        <v>2</v>
      </c>
      <c r="DR10" s="18">
        <v>2</v>
      </c>
      <c r="DS10" s="19" t="s">
        <v>60</v>
      </c>
      <c r="DT10" s="19"/>
      <c r="DU10" s="157"/>
      <c r="DV10" s="157"/>
      <c r="DW10" s="157"/>
      <c r="DX10" s="160"/>
      <c r="DY10" s="161"/>
      <c r="DZ10" s="164"/>
      <c r="EA10" s="165"/>
      <c r="EB10" s="160"/>
      <c r="EC10" s="161"/>
      <c r="ED10" s="164"/>
      <c r="EE10" s="165"/>
      <c r="EF10" s="186"/>
      <c r="EG10" s="190"/>
      <c r="EH10" s="157"/>
      <c r="EI10" s="173"/>
      <c r="EJ10" s="173"/>
      <c r="EK10" s="17">
        <v>2</v>
      </c>
      <c r="EL10" s="17">
        <v>2</v>
      </c>
      <c r="EM10" s="19" t="s">
        <v>60</v>
      </c>
      <c r="EN10" s="19">
        <v>2</v>
      </c>
      <c r="EO10" s="19"/>
      <c r="EP10" s="19"/>
      <c r="EQ10" s="19"/>
      <c r="ER10" s="18"/>
      <c r="ES10" s="91"/>
      <c r="ET10" s="91"/>
      <c r="EU10" s="91"/>
      <c r="EV10" s="91"/>
      <c r="EW10" s="91"/>
      <c r="EX10" s="91"/>
      <c r="EY10" s="91"/>
      <c r="EZ10" s="91"/>
      <c r="FA10" s="157"/>
      <c r="FB10" s="157"/>
      <c r="FC10" s="157"/>
      <c r="FD10" s="160"/>
      <c r="FE10" s="161"/>
      <c r="FF10" s="164"/>
      <c r="FG10" s="165"/>
      <c r="FH10" s="160"/>
      <c r="FI10" s="161"/>
      <c r="FJ10" s="164"/>
      <c r="FK10" s="165"/>
      <c r="FL10" s="186"/>
      <c r="FN10" s="57" t="s">
        <v>57</v>
      </c>
      <c r="FO10" s="57" t="s">
        <v>58</v>
      </c>
    </row>
    <row r="11" spans="1:171" ht="6.6" customHeight="1" x14ac:dyDescent="0.2">
      <c r="A11" s="53"/>
      <c r="B11" s="6"/>
      <c r="C11" s="6"/>
      <c r="D11" s="6"/>
      <c r="E11" s="4"/>
      <c r="F11" s="4"/>
      <c r="G11" s="4"/>
      <c r="H11" s="4"/>
      <c r="I11" s="4"/>
      <c r="J11" s="4"/>
      <c r="K11" s="4"/>
      <c r="L11" s="9" t="s">
        <v>17</v>
      </c>
      <c r="M11" s="7" t="s">
        <v>18</v>
      </c>
      <c r="N11" s="9" t="s">
        <v>17</v>
      </c>
      <c r="O11" s="10" t="s">
        <v>18</v>
      </c>
      <c r="P11" s="5" t="s">
        <v>17</v>
      </c>
      <c r="Q11" s="12" t="s">
        <v>18</v>
      </c>
      <c r="R11" s="9" t="s">
        <v>17</v>
      </c>
      <c r="S11" s="10" t="s">
        <v>18</v>
      </c>
      <c r="T11" s="4"/>
      <c r="U11" s="53"/>
      <c r="V11" s="4"/>
      <c r="W11" s="4"/>
      <c r="X11" s="6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9" t="s">
        <v>17</v>
      </c>
      <c r="AK11" s="7" t="s">
        <v>18</v>
      </c>
      <c r="AL11" s="9" t="s">
        <v>17</v>
      </c>
      <c r="AM11" s="10" t="s">
        <v>18</v>
      </c>
      <c r="AN11" s="5" t="s">
        <v>17</v>
      </c>
      <c r="AO11" s="12" t="s">
        <v>18</v>
      </c>
      <c r="AP11" s="9" t="s">
        <v>17</v>
      </c>
      <c r="AQ11" s="10" t="s">
        <v>18</v>
      </c>
      <c r="AR11" s="4"/>
      <c r="AS11" s="53"/>
      <c r="AT11" s="4"/>
      <c r="AU11" s="4"/>
      <c r="AV11" s="6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9" t="s">
        <v>17</v>
      </c>
      <c r="BI11" s="7" t="s">
        <v>18</v>
      </c>
      <c r="BJ11" s="9" t="s">
        <v>17</v>
      </c>
      <c r="BK11" s="10" t="s">
        <v>18</v>
      </c>
      <c r="BL11" s="5" t="s">
        <v>17</v>
      </c>
      <c r="BM11" s="12" t="s">
        <v>18</v>
      </c>
      <c r="BN11" s="9" t="s">
        <v>17</v>
      </c>
      <c r="BO11" s="10" t="s">
        <v>18</v>
      </c>
      <c r="BP11" s="4"/>
      <c r="BQ11" s="53"/>
      <c r="BR11" s="4"/>
      <c r="BS11" s="4"/>
      <c r="BT11" s="6"/>
      <c r="BU11" s="4"/>
      <c r="BV11" s="4"/>
      <c r="BW11" s="4"/>
      <c r="BX11" s="4"/>
      <c r="BY11" s="4"/>
      <c r="BZ11" s="4"/>
      <c r="CA11" s="4"/>
      <c r="CB11" s="9" t="s">
        <v>17</v>
      </c>
      <c r="CC11" s="7" t="s">
        <v>18</v>
      </c>
      <c r="CD11" s="9" t="s">
        <v>17</v>
      </c>
      <c r="CE11" s="10" t="s">
        <v>18</v>
      </c>
      <c r="CF11" s="5" t="s">
        <v>17</v>
      </c>
      <c r="CG11" s="12" t="s">
        <v>18</v>
      </c>
      <c r="CH11" s="9" t="s">
        <v>17</v>
      </c>
      <c r="CI11" s="10" t="s">
        <v>18</v>
      </c>
      <c r="CJ11" s="4"/>
      <c r="CK11" s="53"/>
      <c r="CL11" s="4"/>
      <c r="CM11" s="4"/>
      <c r="CN11" s="6"/>
      <c r="CO11" s="6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9" t="s">
        <v>17</v>
      </c>
      <c r="DA11" s="7" t="s">
        <v>18</v>
      </c>
      <c r="DB11" s="9" t="s">
        <v>17</v>
      </c>
      <c r="DC11" s="10" t="s">
        <v>18</v>
      </c>
      <c r="DD11" s="5" t="s">
        <v>17</v>
      </c>
      <c r="DE11" s="12" t="s">
        <v>18</v>
      </c>
      <c r="DF11" s="9" t="s">
        <v>17</v>
      </c>
      <c r="DG11" s="10" t="s">
        <v>18</v>
      </c>
      <c r="DH11" s="4"/>
      <c r="DI11" s="53"/>
      <c r="DJ11" s="4"/>
      <c r="DK11" s="4"/>
      <c r="DL11" s="6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9" t="s">
        <v>17</v>
      </c>
      <c r="DY11" s="7" t="s">
        <v>18</v>
      </c>
      <c r="DZ11" s="9" t="s">
        <v>17</v>
      </c>
      <c r="EA11" s="10" t="s">
        <v>18</v>
      </c>
      <c r="EB11" s="5" t="s">
        <v>17</v>
      </c>
      <c r="EC11" s="12" t="s">
        <v>18</v>
      </c>
      <c r="ED11" s="9" t="s">
        <v>17</v>
      </c>
      <c r="EE11" s="10" t="s">
        <v>18</v>
      </c>
      <c r="EF11" s="4"/>
      <c r="EG11" s="53"/>
      <c r="EH11" s="4"/>
      <c r="EI11" s="4"/>
      <c r="EJ11" s="6"/>
      <c r="EK11" s="4"/>
      <c r="EL11" s="4"/>
      <c r="EM11" s="4"/>
      <c r="EN11" s="66"/>
      <c r="EO11" s="66"/>
      <c r="EP11" s="66"/>
      <c r="EQ11" s="66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9" t="s">
        <v>17</v>
      </c>
      <c r="FE11" s="7" t="s">
        <v>18</v>
      </c>
      <c r="FF11" s="9" t="s">
        <v>17</v>
      </c>
      <c r="FG11" s="10" t="s">
        <v>18</v>
      </c>
      <c r="FH11" s="5" t="s">
        <v>17</v>
      </c>
      <c r="FI11" s="12" t="s">
        <v>18</v>
      </c>
      <c r="FJ11" s="9" t="s">
        <v>17</v>
      </c>
      <c r="FK11" s="10" t="s">
        <v>18</v>
      </c>
      <c r="FL11" s="4"/>
      <c r="FN11" s="1"/>
      <c r="FO11" s="1"/>
    </row>
    <row r="12" spans="1:171" ht="20.100000000000001" customHeight="1" x14ac:dyDescent="0.25">
      <c r="A12" s="13">
        <v>1</v>
      </c>
      <c r="B12" s="109" t="s">
        <v>105</v>
      </c>
      <c r="C12" s="107" t="s">
        <v>21</v>
      </c>
      <c r="D12" s="143" t="s">
        <v>106</v>
      </c>
      <c r="E12" s="77" t="s">
        <v>23</v>
      </c>
      <c r="F12" s="77" t="s">
        <v>23</v>
      </c>
      <c r="G12" s="77" t="s">
        <v>23</v>
      </c>
      <c r="H12" s="77" t="s">
        <v>23</v>
      </c>
      <c r="I12" s="107">
        <f t="shared" ref="I12:I33" si="0">COUNT(E12:H12)</f>
        <v>0</v>
      </c>
      <c r="J12" s="107">
        <f>I12*2</f>
        <v>0</v>
      </c>
      <c r="K12" s="107">
        <f>I12/4*100</f>
        <v>0</v>
      </c>
      <c r="L12" s="134">
        <f>I12*50</f>
        <v>0</v>
      </c>
      <c r="M12" s="135"/>
      <c r="N12" s="124">
        <f>IF(K12&lt;=40,0,IF(K12&lt;=60,5,IF(K12&gt;=61,10)))</f>
        <v>0</v>
      </c>
      <c r="O12" s="136"/>
      <c r="P12" s="124">
        <f>L12</f>
        <v>0</v>
      </c>
      <c r="Q12" s="136"/>
      <c r="R12" s="124">
        <f>N12</f>
        <v>0</v>
      </c>
      <c r="S12" s="70"/>
      <c r="T12" s="22"/>
      <c r="U12" s="13">
        <v>1</v>
      </c>
      <c r="V12" s="109" t="s">
        <v>105</v>
      </c>
      <c r="W12" s="107" t="s">
        <v>21</v>
      </c>
      <c r="X12" s="143" t="s">
        <v>106</v>
      </c>
      <c r="Y12" s="77">
        <v>12</v>
      </c>
      <c r="Z12" s="77">
        <v>15</v>
      </c>
      <c r="AA12" s="77">
        <v>18</v>
      </c>
      <c r="AB12" s="77" t="s">
        <v>23</v>
      </c>
      <c r="AC12" s="77">
        <v>21</v>
      </c>
      <c r="AD12" s="77">
        <v>24</v>
      </c>
      <c r="AE12" s="77">
        <v>27</v>
      </c>
      <c r="AF12" s="77">
        <v>30</v>
      </c>
      <c r="AG12" s="107">
        <f t="shared" ref="AG12:AG33" si="1">COUNT(Y12:AF12)</f>
        <v>7</v>
      </c>
      <c r="AH12" s="107">
        <f>AG12*2</f>
        <v>14</v>
      </c>
      <c r="AI12" s="107">
        <f>AG12/8*100</f>
        <v>87.5</v>
      </c>
      <c r="AJ12" s="134">
        <f>AG12*50</f>
        <v>350</v>
      </c>
      <c r="AK12" s="135"/>
      <c r="AL12" s="124">
        <f>IF(AI12&lt;=40,0,IF(AI12&lt;=60,5,IF(AI12&gt;=61,10)))</f>
        <v>10</v>
      </c>
      <c r="AM12" s="136"/>
      <c r="AN12" s="124">
        <f t="shared" ref="AN12:AN33" si="2">P12+AJ12</f>
        <v>350</v>
      </c>
      <c r="AO12" s="136"/>
      <c r="AP12" s="124">
        <f t="shared" ref="AP12:AP33" si="3">R12+AL12</f>
        <v>10</v>
      </c>
      <c r="AQ12" s="70"/>
      <c r="AR12" s="22"/>
      <c r="AS12" s="13">
        <v>1</v>
      </c>
      <c r="AT12" s="109" t="s">
        <v>105</v>
      </c>
      <c r="AU12" s="107" t="s">
        <v>21</v>
      </c>
      <c r="AV12" s="141" t="s">
        <v>106</v>
      </c>
      <c r="AW12" s="77" t="s">
        <v>23</v>
      </c>
      <c r="AX12" s="77" t="s">
        <v>23</v>
      </c>
      <c r="AY12" s="77">
        <v>33</v>
      </c>
      <c r="AZ12" s="77" t="s">
        <v>23</v>
      </c>
      <c r="BA12" s="77" t="s">
        <v>23</v>
      </c>
      <c r="BB12" s="77" t="s">
        <v>23</v>
      </c>
      <c r="BC12" s="77">
        <v>36</v>
      </c>
      <c r="BD12" s="77">
        <v>39</v>
      </c>
      <c r="BE12" s="107">
        <f t="shared" ref="BE12:BE33" si="4">COUNT(AW12:BD12)</f>
        <v>3</v>
      </c>
      <c r="BF12" s="107">
        <f>BE12*2</f>
        <v>6</v>
      </c>
      <c r="BG12" s="107">
        <f>BE12/8*100</f>
        <v>37.5</v>
      </c>
      <c r="BH12" s="134">
        <f>BE12*50</f>
        <v>150</v>
      </c>
      <c r="BI12" s="135"/>
      <c r="BJ12" s="124">
        <f>IF(BG12&lt;=40,0,IF(BG12&lt;=60,5,IF(BG12&gt;=61,10)))</f>
        <v>0</v>
      </c>
      <c r="BK12" s="136"/>
      <c r="BL12" s="124">
        <f t="shared" ref="BL12:BL33" si="5">AN12+BH12</f>
        <v>500</v>
      </c>
      <c r="BM12" s="136"/>
      <c r="BN12" s="124">
        <f t="shared" ref="BN12:BN33" si="6">AP12+BJ12</f>
        <v>10</v>
      </c>
      <c r="BO12" s="70"/>
      <c r="BP12" s="22"/>
      <c r="BQ12" s="13">
        <v>1</v>
      </c>
      <c r="BR12" s="109" t="s">
        <v>105</v>
      </c>
      <c r="BS12" s="107" t="s">
        <v>21</v>
      </c>
      <c r="BT12" s="141" t="s">
        <v>106</v>
      </c>
      <c r="BU12" s="16">
        <v>42</v>
      </c>
      <c r="BV12" s="16">
        <v>45</v>
      </c>
      <c r="BW12" s="16">
        <v>48</v>
      </c>
      <c r="BX12" s="16">
        <v>20</v>
      </c>
      <c r="BY12" s="13">
        <f t="shared" ref="BY12:BY33" si="7">COUNT(BU12:BX12)</f>
        <v>4</v>
      </c>
      <c r="BZ12" s="13">
        <f>BY12*2</f>
        <v>8</v>
      </c>
      <c r="CA12" s="13">
        <f>BY12/4*100</f>
        <v>100</v>
      </c>
      <c r="CB12" s="21">
        <f>BY12*50</f>
        <v>200</v>
      </c>
      <c r="CC12" s="69"/>
      <c r="CD12" s="20">
        <f>IF(CA12&lt;=40,0,IF(CA12&lt;=60,5,IF(CA12&gt;=61,10)))</f>
        <v>10</v>
      </c>
      <c r="CE12" s="70"/>
      <c r="CF12" s="20">
        <f t="shared" ref="CF12:CF35" si="8">BL12</f>
        <v>500</v>
      </c>
      <c r="CG12" s="70"/>
      <c r="CH12" s="20"/>
      <c r="CI12" s="70"/>
      <c r="CJ12" s="22"/>
      <c r="CK12" s="13">
        <v>1</v>
      </c>
      <c r="CL12" s="109"/>
      <c r="CM12" s="107"/>
      <c r="CN12" s="109"/>
      <c r="CO12" s="77"/>
      <c r="CP12" s="77"/>
      <c r="CQ12" s="77"/>
      <c r="CR12" s="77"/>
      <c r="CS12" s="77"/>
      <c r="CT12" s="107"/>
      <c r="CU12" s="107"/>
      <c r="CV12" s="107"/>
      <c r="CW12" s="107">
        <f t="shared" ref="CW12:CW33" si="9">COUNT(CO12:CV12)</f>
        <v>0</v>
      </c>
      <c r="CX12" s="107">
        <f>CW12*2</f>
        <v>0</v>
      </c>
      <c r="CY12" s="107">
        <f>CW12/5*100</f>
        <v>0</v>
      </c>
      <c r="CZ12" s="134">
        <f>CW12*50</f>
        <v>0</v>
      </c>
      <c r="DA12" s="135"/>
      <c r="DB12" s="124">
        <f>IF(CY12&lt;=40,0,IF(CY12&lt;=60,5,IF(CY12&gt;=61,10)))</f>
        <v>0</v>
      </c>
      <c r="DC12" s="136"/>
      <c r="DD12" s="124">
        <f>CF12+CZ12</f>
        <v>500</v>
      </c>
      <c r="DE12" s="136"/>
      <c r="DF12" s="124">
        <f>CH12+DB12</f>
        <v>0</v>
      </c>
      <c r="DG12" s="70"/>
      <c r="DH12" s="22"/>
      <c r="DI12" s="13">
        <v>1</v>
      </c>
      <c r="DJ12" s="109"/>
      <c r="DK12" s="107"/>
      <c r="DL12" s="109"/>
      <c r="DM12" s="77"/>
      <c r="DN12" s="77"/>
      <c r="DO12" s="77"/>
      <c r="DP12" s="77"/>
      <c r="DQ12" s="77"/>
      <c r="DR12" s="77"/>
      <c r="DS12" s="77"/>
      <c r="DT12" s="107"/>
      <c r="DU12" s="107">
        <f t="shared" ref="DU12:DU33" si="10">COUNT(DM12:DT12)</f>
        <v>0</v>
      </c>
      <c r="DV12" s="107">
        <f>DU12*2</f>
        <v>0</v>
      </c>
      <c r="DW12" s="107">
        <f>DU12/6*100</f>
        <v>0</v>
      </c>
      <c r="DX12" s="134">
        <f>DU12*50</f>
        <v>0</v>
      </c>
      <c r="DY12" s="135"/>
      <c r="DZ12" s="124">
        <f>IF(DW12&lt;=40,0,IF(DW12&lt;=60,5,IF(DW12&gt;=61,10)))</f>
        <v>0</v>
      </c>
      <c r="EA12" s="136"/>
      <c r="EB12" s="124">
        <f>DD12+DX12</f>
        <v>500</v>
      </c>
      <c r="EC12" s="136"/>
      <c r="ED12" s="124">
        <f>DF12+DZ12</f>
        <v>0</v>
      </c>
      <c r="EE12" s="70"/>
      <c r="EF12" s="22"/>
      <c r="EG12" s="13">
        <v>1</v>
      </c>
      <c r="EH12" s="109" t="s">
        <v>67</v>
      </c>
      <c r="EI12" s="107" t="s">
        <v>21</v>
      </c>
      <c r="EJ12" s="109" t="s">
        <v>83</v>
      </c>
      <c r="EK12" s="77"/>
      <c r="EL12" s="77"/>
      <c r="EM12" s="77"/>
      <c r="EN12" s="77"/>
      <c r="EO12" s="77"/>
      <c r="EP12" s="77"/>
      <c r="EQ12" s="77"/>
      <c r="ER12" s="107"/>
      <c r="ES12" s="107"/>
      <c r="ET12" s="107"/>
      <c r="EU12" s="107"/>
      <c r="EV12" s="107"/>
      <c r="EW12" s="107"/>
      <c r="EX12" s="107"/>
      <c r="EY12" s="107"/>
      <c r="EZ12" s="107"/>
      <c r="FA12" s="107">
        <f t="shared" ref="FA12:FA33" si="11">COUNT(EK12:ER12)</f>
        <v>0</v>
      </c>
      <c r="FB12" s="107">
        <f>FA12*2</f>
        <v>0</v>
      </c>
      <c r="FC12" s="107">
        <f>FA12/4*100</f>
        <v>0</v>
      </c>
      <c r="FD12" s="134">
        <f>FA12*50</f>
        <v>0</v>
      </c>
      <c r="FE12" s="135"/>
      <c r="FF12" s="124">
        <f>IF(FC12&lt;=40,0,IF(FC12&lt;=60,5,IF(FC12&gt;=61,10)))</f>
        <v>0</v>
      </c>
      <c r="FG12" s="136"/>
      <c r="FH12" s="124">
        <f t="shared" ref="FH12:FH33" si="12">EB12+FD12</f>
        <v>500</v>
      </c>
      <c r="FI12" s="136"/>
      <c r="FJ12" s="124">
        <f t="shared" ref="FJ12:FJ33" si="13">ED12+FF12</f>
        <v>0</v>
      </c>
      <c r="FK12" s="136"/>
      <c r="FL12" s="137"/>
      <c r="FM12" s="138"/>
      <c r="FN12" s="107">
        <f t="shared" ref="FN12:FN24" si="14">EN12/3</f>
        <v>0</v>
      </c>
      <c r="FO12" s="107">
        <f>FN12/35*100</f>
        <v>0</v>
      </c>
    </row>
    <row r="13" spans="1:171" ht="20.100000000000001" customHeight="1" x14ac:dyDescent="0.25">
      <c r="A13" s="13">
        <v>2</v>
      </c>
      <c r="B13" s="109" t="s">
        <v>107</v>
      </c>
      <c r="C13" s="107" t="s">
        <v>21</v>
      </c>
      <c r="D13" s="144" t="s">
        <v>108</v>
      </c>
      <c r="E13" s="77" t="s">
        <v>23</v>
      </c>
      <c r="F13" s="77">
        <v>3</v>
      </c>
      <c r="G13" s="77" t="s">
        <v>23</v>
      </c>
      <c r="H13" s="77" t="s">
        <v>23</v>
      </c>
      <c r="I13" s="107">
        <f t="shared" si="0"/>
        <v>1</v>
      </c>
      <c r="J13" s="107">
        <f t="shared" ref="J13:J32" si="15">I13*2</f>
        <v>2</v>
      </c>
      <c r="K13" s="107">
        <f>I13/4*100</f>
        <v>25</v>
      </c>
      <c r="L13" s="134">
        <f t="shared" ref="L13:L33" si="16">I13*50</f>
        <v>50</v>
      </c>
      <c r="M13" s="135"/>
      <c r="N13" s="124">
        <f t="shared" ref="N13:N32" si="17">IF(K13&lt;=40,0,IF(K13&lt;=60,5,IF(K13&gt;=61,10)))</f>
        <v>0</v>
      </c>
      <c r="O13" s="136"/>
      <c r="P13" s="124">
        <f t="shared" ref="P13:P32" si="18">L13</f>
        <v>50</v>
      </c>
      <c r="Q13" s="136"/>
      <c r="R13" s="124">
        <f t="shared" ref="R13:R32" si="19">N13</f>
        <v>0</v>
      </c>
      <c r="S13" s="70"/>
      <c r="T13" s="22"/>
      <c r="U13" s="13">
        <v>2</v>
      </c>
      <c r="V13" s="109" t="s">
        <v>107</v>
      </c>
      <c r="W13" s="107" t="s">
        <v>21</v>
      </c>
      <c r="X13" s="144" t="s">
        <v>108</v>
      </c>
      <c r="Y13" s="77" t="s">
        <v>23</v>
      </c>
      <c r="Z13" s="77">
        <v>12</v>
      </c>
      <c r="AA13" s="77">
        <v>15</v>
      </c>
      <c r="AB13" s="77">
        <v>18</v>
      </c>
      <c r="AC13" s="77" t="s">
        <v>23</v>
      </c>
      <c r="AD13" s="77">
        <v>21</v>
      </c>
      <c r="AE13" s="77">
        <v>24</v>
      </c>
      <c r="AF13" s="77">
        <v>27</v>
      </c>
      <c r="AG13" s="107">
        <f t="shared" si="1"/>
        <v>6</v>
      </c>
      <c r="AH13" s="107">
        <f t="shared" ref="AH13:AH33" si="20">AG13*2</f>
        <v>12</v>
      </c>
      <c r="AI13" s="107">
        <f t="shared" ref="AI13:AI33" si="21">AG13/8*100</f>
        <v>75</v>
      </c>
      <c r="AJ13" s="134">
        <f t="shared" ref="AJ13:AJ33" si="22">AG13*50</f>
        <v>300</v>
      </c>
      <c r="AK13" s="135"/>
      <c r="AL13" s="124">
        <f t="shared" ref="AL13:AL31" si="23">IF(AI13&lt;=40,0,IF(AI13&lt;=60,5,IF(AI13&gt;=61,10)))</f>
        <v>10</v>
      </c>
      <c r="AM13" s="136"/>
      <c r="AN13" s="124">
        <f t="shared" si="2"/>
        <v>350</v>
      </c>
      <c r="AO13" s="136"/>
      <c r="AP13" s="124">
        <f t="shared" si="3"/>
        <v>10</v>
      </c>
      <c r="AQ13" s="70"/>
      <c r="AR13" s="22"/>
      <c r="AS13" s="13">
        <v>2</v>
      </c>
      <c r="AT13" s="109" t="s">
        <v>107</v>
      </c>
      <c r="AU13" s="107" t="s">
        <v>21</v>
      </c>
      <c r="AV13" s="142" t="s">
        <v>108</v>
      </c>
      <c r="AW13" s="77" t="s">
        <v>23</v>
      </c>
      <c r="AX13" s="77" t="s">
        <v>23</v>
      </c>
      <c r="AY13" s="77">
        <v>30</v>
      </c>
      <c r="AZ13" s="77" t="s">
        <v>23</v>
      </c>
      <c r="BA13" s="77" t="s">
        <v>23</v>
      </c>
      <c r="BB13" s="77">
        <v>33</v>
      </c>
      <c r="BC13" s="77">
        <v>36</v>
      </c>
      <c r="BD13" s="77" t="s">
        <v>23</v>
      </c>
      <c r="BE13" s="107">
        <f t="shared" si="4"/>
        <v>3</v>
      </c>
      <c r="BF13" s="107">
        <f t="shared" ref="BF13:BF32" si="24">BE13*2</f>
        <v>6</v>
      </c>
      <c r="BG13" s="107">
        <f>BE13/8*100</f>
        <v>37.5</v>
      </c>
      <c r="BH13" s="134">
        <f t="shared" ref="BH13:BH33" si="25">BE13*50</f>
        <v>150</v>
      </c>
      <c r="BI13" s="135"/>
      <c r="BJ13" s="124">
        <f t="shared" ref="BJ13:BJ32" si="26">IF(BG13&lt;=40,0,IF(BG13&lt;=60,5,IF(BG13&gt;=61,10)))</f>
        <v>0</v>
      </c>
      <c r="BK13" s="136"/>
      <c r="BL13" s="124">
        <f t="shared" si="5"/>
        <v>500</v>
      </c>
      <c r="BM13" s="136"/>
      <c r="BN13" s="124">
        <f t="shared" si="6"/>
        <v>10</v>
      </c>
      <c r="BO13" s="70"/>
      <c r="BP13" s="22"/>
      <c r="BQ13" s="13">
        <v>2</v>
      </c>
      <c r="BR13" s="109" t="s">
        <v>107</v>
      </c>
      <c r="BS13" s="107" t="s">
        <v>21</v>
      </c>
      <c r="BT13" s="142" t="s">
        <v>108</v>
      </c>
      <c r="BU13" s="16" t="s">
        <v>23</v>
      </c>
      <c r="BV13" s="16">
        <v>39</v>
      </c>
      <c r="BW13" s="77">
        <v>42</v>
      </c>
      <c r="BX13" s="16" t="s">
        <v>23</v>
      </c>
      <c r="BY13" s="13">
        <f t="shared" si="7"/>
        <v>2</v>
      </c>
      <c r="BZ13" s="13">
        <f t="shared" ref="BZ13:BZ32" si="27">BY13*2</f>
        <v>4</v>
      </c>
      <c r="CA13" s="13">
        <f t="shared" ref="CA13:CA33" si="28">BY13/4*100</f>
        <v>50</v>
      </c>
      <c r="CB13" s="21">
        <f>BY13*50</f>
        <v>100</v>
      </c>
      <c r="CC13" s="69"/>
      <c r="CD13" s="20">
        <f t="shared" ref="CD13:CD32" si="29">IF(CA13&lt;=40,0,IF(CA13&lt;=60,5,IF(CA13&gt;=61,10)))</f>
        <v>5</v>
      </c>
      <c r="CE13" s="70"/>
      <c r="CF13" s="20">
        <f t="shared" si="8"/>
        <v>500</v>
      </c>
      <c r="CG13" s="70"/>
      <c r="CH13" s="20"/>
      <c r="CI13" s="70"/>
      <c r="CJ13" s="22"/>
      <c r="CK13" s="13">
        <v>2</v>
      </c>
      <c r="CL13" s="109"/>
      <c r="CM13" s="107"/>
      <c r="CN13" s="109"/>
      <c r="CO13" s="77"/>
      <c r="CP13" s="77"/>
      <c r="CQ13" s="77"/>
      <c r="CR13" s="77"/>
      <c r="CS13" s="77"/>
      <c r="CT13" s="107"/>
      <c r="CU13" s="107"/>
      <c r="CV13" s="107"/>
      <c r="CW13" s="107">
        <f t="shared" si="9"/>
        <v>0</v>
      </c>
      <c r="CX13" s="107">
        <f t="shared" ref="CX13:CX33" si="30">CW13*2</f>
        <v>0</v>
      </c>
      <c r="CY13" s="107">
        <f t="shared" ref="CY13:CY33" si="31">CW13/5*100</f>
        <v>0</v>
      </c>
      <c r="CZ13" s="134">
        <f t="shared" ref="CZ13:CZ33" si="32">CW13*50</f>
        <v>0</v>
      </c>
      <c r="DA13" s="135"/>
      <c r="DB13" s="124">
        <f t="shared" ref="DB13:DB32" si="33">IF(CY13&lt;=40,0,IF(CY13&lt;=60,5,IF(CY13&gt;=61,10)))</f>
        <v>0</v>
      </c>
      <c r="DC13" s="136"/>
      <c r="DD13" s="124">
        <f t="shared" ref="DD13:DD33" si="34">CF13+CZ13</f>
        <v>500</v>
      </c>
      <c r="DE13" s="136"/>
      <c r="DF13" s="124">
        <f t="shared" ref="DF13:DF33" si="35">CH13+DB13</f>
        <v>0</v>
      </c>
      <c r="DG13" s="70"/>
      <c r="DH13" s="22"/>
      <c r="DI13" s="13">
        <v>2</v>
      </c>
      <c r="DJ13" s="109"/>
      <c r="DK13" s="107"/>
      <c r="DL13" s="109"/>
      <c r="DM13" s="77"/>
      <c r="DN13" s="77"/>
      <c r="DO13" s="77"/>
      <c r="DP13" s="77"/>
      <c r="DQ13" s="77"/>
      <c r="DR13" s="77"/>
      <c r="DS13" s="77"/>
      <c r="DT13" s="107"/>
      <c r="DU13" s="107">
        <f t="shared" si="10"/>
        <v>0</v>
      </c>
      <c r="DV13" s="107">
        <f t="shared" ref="DV13:DV33" si="36">DU13*2</f>
        <v>0</v>
      </c>
      <c r="DW13" s="107">
        <f t="shared" ref="DW13:DW33" si="37">DU13/6*100</f>
        <v>0</v>
      </c>
      <c r="DX13" s="134">
        <f t="shared" ref="DX13:DX33" si="38">DU13*50</f>
        <v>0</v>
      </c>
      <c r="DY13" s="135"/>
      <c r="DZ13" s="124">
        <f t="shared" ref="DZ13:DZ33" si="39">IF(DW13&lt;=40,0,IF(DW13&lt;=60,5,IF(DW13&gt;=61,10)))</f>
        <v>0</v>
      </c>
      <c r="EA13" s="136"/>
      <c r="EB13" s="124">
        <f t="shared" ref="EB13:EB33" si="40">DD13+DX13</f>
        <v>500</v>
      </c>
      <c r="EC13" s="136"/>
      <c r="ED13" s="124">
        <f t="shared" ref="ED13:ED33" si="41">DF13+DZ13</f>
        <v>0</v>
      </c>
      <c r="EE13" s="70"/>
      <c r="EF13" s="22"/>
      <c r="EG13" s="13">
        <v>2</v>
      </c>
      <c r="EH13" s="109" t="s">
        <v>68</v>
      </c>
      <c r="EI13" s="107" t="s">
        <v>21</v>
      </c>
      <c r="EJ13" s="109" t="s">
        <v>84</v>
      </c>
      <c r="EK13" s="77"/>
      <c r="EL13" s="77"/>
      <c r="EM13" s="77"/>
      <c r="EN13" s="77"/>
      <c r="EO13" s="77"/>
      <c r="EP13" s="77"/>
      <c r="EQ13" s="77"/>
      <c r="ER13" s="107"/>
      <c r="ES13" s="107"/>
      <c r="ET13" s="107"/>
      <c r="EU13" s="107"/>
      <c r="EV13" s="107"/>
      <c r="EW13" s="107"/>
      <c r="EX13" s="107"/>
      <c r="EY13" s="107"/>
      <c r="EZ13" s="107"/>
      <c r="FA13" s="107">
        <f t="shared" si="11"/>
        <v>0</v>
      </c>
      <c r="FB13" s="107">
        <f t="shared" ref="FB13:FB33" si="42">FA13*2</f>
        <v>0</v>
      </c>
      <c r="FC13" s="107">
        <f t="shared" ref="FC13:FC33" si="43">FA13/4*100</f>
        <v>0</v>
      </c>
      <c r="FD13" s="134">
        <f t="shared" ref="FD13:FD33" si="44">FA13*50</f>
        <v>0</v>
      </c>
      <c r="FE13" s="135"/>
      <c r="FF13" s="124">
        <f t="shared" ref="FF13:FF33" si="45">IF(FC13&lt;=40,0,IF(FC13&lt;=60,5,IF(FC13&gt;=61,10)))</f>
        <v>0</v>
      </c>
      <c r="FG13" s="136"/>
      <c r="FH13" s="124">
        <f t="shared" si="12"/>
        <v>500</v>
      </c>
      <c r="FI13" s="136"/>
      <c r="FJ13" s="124">
        <f t="shared" si="13"/>
        <v>0</v>
      </c>
      <c r="FK13" s="136"/>
      <c r="FL13" s="137"/>
      <c r="FM13" s="138"/>
      <c r="FN13" s="107">
        <f t="shared" si="14"/>
        <v>0</v>
      </c>
      <c r="FO13" s="107">
        <f t="shared" ref="FO13:FO33" si="46">FN13/35*100</f>
        <v>0</v>
      </c>
    </row>
    <row r="14" spans="1:171" ht="20.100000000000001" customHeight="1" x14ac:dyDescent="0.25">
      <c r="A14" s="13">
        <v>3</v>
      </c>
      <c r="B14" s="109" t="s">
        <v>109</v>
      </c>
      <c r="C14" s="107" t="s">
        <v>21</v>
      </c>
      <c r="D14" s="143" t="s">
        <v>110</v>
      </c>
      <c r="E14" s="77" t="s">
        <v>23</v>
      </c>
      <c r="F14" s="77" t="s">
        <v>23</v>
      </c>
      <c r="G14" s="77" t="s">
        <v>23</v>
      </c>
      <c r="H14" s="77" t="s">
        <v>23</v>
      </c>
      <c r="I14" s="107">
        <f t="shared" si="0"/>
        <v>0</v>
      </c>
      <c r="J14" s="107">
        <f t="shared" si="15"/>
        <v>0</v>
      </c>
      <c r="K14" s="107">
        <f t="shared" ref="K14:K33" si="47">I14/4*100</f>
        <v>0</v>
      </c>
      <c r="L14" s="134">
        <f t="shared" si="16"/>
        <v>0</v>
      </c>
      <c r="M14" s="135"/>
      <c r="N14" s="124">
        <f t="shared" si="17"/>
        <v>0</v>
      </c>
      <c r="O14" s="136"/>
      <c r="P14" s="124">
        <f t="shared" si="18"/>
        <v>0</v>
      </c>
      <c r="Q14" s="136"/>
      <c r="R14" s="124">
        <f t="shared" si="19"/>
        <v>0</v>
      </c>
      <c r="S14" s="70"/>
      <c r="T14" s="22"/>
      <c r="U14" s="13">
        <v>3</v>
      </c>
      <c r="V14" s="109" t="s">
        <v>109</v>
      </c>
      <c r="W14" s="107" t="s">
        <v>21</v>
      </c>
      <c r="X14" s="143" t="s">
        <v>110</v>
      </c>
      <c r="Y14" s="77">
        <v>3</v>
      </c>
      <c r="Z14" s="77">
        <v>6</v>
      </c>
      <c r="AA14" s="77">
        <v>9</v>
      </c>
      <c r="AB14" s="77">
        <v>12</v>
      </c>
      <c r="AC14" s="77">
        <v>15</v>
      </c>
      <c r="AD14" s="77">
        <v>18</v>
      </c>
      <c r="AE14" s="77">
        <v>21</v>
      </c>
      <c r="AF14" s="77">
        <v>24</v>
      </c>
      <c r="AG14" s="107">
        <f t="shared" si="1"/>
        <v>8</v>
      </c>
      <c r="AH14" s="107">
        <f t="shared" si="20"/>
        <v>16</v>
      </c>
      <c r="AI14" s="107">
        <f t="shared" si="21"/>
        <v>100</v>
      </c>
      <c r="AJ14" s="134">
        <f t="shared" si="22"/>
        <v>400</v>
      </c>
      <c r="AK14" s="135"/>
      <c r="AL14" s="124">
        <f t="shared" si="23"/>
        <v>10</v>
      </c>
      <c r="AM14" s="136"/>
      <c r="AN14" s="124">
        <f t="shared" si="2"/>
        <v>400</v>
      </c>
      <c r="AO14" s="136"/>
      <c r="AP14" s="124">
        <f t="shared" si="3"/>
        <v>10</v>
      </c>
      <c r="AQ14" s="70"/>
      <c r="AR14" s="22"/>
      <c r="AS14" s="13">
        <v>3</v>
      </c>
      <c r="AT14" s="109" t="s">
        <v>109</v>
      </c>
      <c r="AU14" s="107" t="s">
        <v>21</v>
      </c>
      <c r="AV14" s="141" t="s">
        <v>110</v>
      </c>
      <c r="AW14" s="77">
        <v>27</v>
      </c>
      <c r="AX14" s="77">
        <v>30</v>
      </c>
      <c r="AY14" s="77">
        <v>33</v>
      </c>
      <c r="AZ14" s="77">
        <v>36</v>
      </c>
      <c r="BA14" s="77" t="s">
        <v>23</v>
      </c>
      <c r="BB14" s="77">
        <v>39</v>
      </c>
      <c r="BC14" s="77" t="s">
        <v>23</v>
      </c>
      <c r="BD14" s="77">
        <v>42</v>
      </c>
      <c r="BE14" s="107">
        <f t="shared" si="4"/>
        <v>6</v>
      </c>
      <c r="BF14" s="107">
        <f t="shared" si="24"/>
        <v>12</v>
      </c>
      <c r="BG14" s="107">
        <f t="shared" ref="BG14:BG33" si="48">BE14/8*100</f>
        <v>75</v>
      </c>
      <c r="BH14" s="134">
        <f t="shared" si="25"/>
        <v>300</v>
      </c>
      <c r="BI14" s="135"/>
      <c r="BJ14" s="124">
        <f t="shared" si="26"/>
        <v>10</v>
      </c>
      <c r="BK14" s="136"/>
      <c r="BL14" s="124">
        <f t="shared" si="5"/>
        <v>700</v>
      </c>
      <c r="BM14" s="136"/>
      <c r="BN14" s="124">
        <f t="shared" si="6"/>
        <v>20</v>
      </c>
      <c r="BO14" s="70"/>
      <c r="BP14" s="22"/>
      <c r="BQ14" s="13">
        <v>3</v>
      </c>
      <c r="BR14" s="109" t="s">
        <v>109</v>
      </c>
      <c r="BS14" s="107" t="s">
        <v>21</v>
      </c>
      <c r="BT14" s="141" t="s">
        <v>110</v>
      </c>
      <c r="BU14" s="16">
        <v>45</v>
      </c>
      <c r="BV14" s="16">
        <v>48</v>
      </c>
      <c r="BW14" s="16">
        <v>51</v>
      </c>
      <c r="BX14" s="16" t="s">
        <v>23</v>
      </c>
      <c r="BY14" s="13">
        <f t="shared" si="7"/>
        <v>3</v>
      </c>
      <c r="BZ14" s="13">
        <f t="shared" si="27"/>
        <v>6</v>
      </c>
      <c r="CA14" s="13">
        <f t="shared" si="28"/>
        <v>75</v>
      </c>
      <c r="CB14" s="21">
        <f t="shared" ref="CB14:CB33" si="49">BY14*50</f>
        <v>150</v>
      </c>
      <c r="CC14" s="69"/>
      <c r="CD14" s="20">
        <f t="shared" si="29"/>
        <v>10</v>
      </c>
      <c r="CE14" s="70"/>
      <c r="CF14" s="20">
        <f t="shared" si="8"/>
        <v>700</v>
      </c>
      <c r="CG14" s="70"/>
      <c r="CH14" s="20"/>
      <c r="CI14" s="70"/>
      <c r="CJ14" s="22"/>
      <c r="CK14" s="13">
        <v>3</v>
      </c>
      <c r="CL14" s="109"/>
      <c r="CM14" s="107"/>
      <c r="CN14" s="109"/>
      <c r="CO14" s="77"/>
      <c r="CP14" s="77"/>
      <c r="CQ14" s="77"/>
      <c r="CR14" s="77"/>
      <c r="CS14" s="77"/>
      <c r="CT14" s="107"/>
      <c r="CU14" s="107"/>
      <c r="CV14" s="107"/>
      <c r="CW14" s="107">
        <f t="shared" si="9"/>
        <v>0</v>
      </c>
      <c r="CX14" s="107">
        <f t="shared" si="30"/>
        <v>0</v>
      </c>
      <c r="CY14" s="107">
        <f t="shared" si="31"/>
        <v>0</v>
      </c>
      <c r="CZ14" s="134">
        <f t="shared" si="32"/>
        <v>0</v>
      </c>
      <c r="DA14" s="135"/>
      <c r="DB14" s="124">
        <f t="shared" si="33"/>
        <v>0</v>
      </c>
      <c r="DC14" s="136"/>
      <c r="DD14" s="124">
        <f t="shared" si="34"/>
        <v>700</v>
      </c>
      <c r="DE14" s="136"/>
      <c r="DF14" s="124">
        <f t="shared" si="35"/>
        <v>0</v>
      </c>
      <c r="DG14" s="70"/>
      <c r="DH14" s="22"/>
      <c r="DI14" s="13">
        <v>3</v>
      </c>
      <c r="DJ14" s="109"/>
      <c r="DK14" s="107"/>
      <c r="DL14" s="109"/>
      <c r="DM14" s="77"/>
      <c r="DN14" s="77"/>
      <c r="DO14" s="77"/>
      <c r="DP14" s="77"/>
      <c r="DQ14" s="77"/>
      <c r="DR14" s="77"/>
      <c r="DS14" s="77"/>
      <c r="DT14" s="107"/>
      <c r="DU14" s="107">
        <f t="shared" si="10"/>
        <v>0</v>
      </c>
      <c r="DV14" s="107">
        <f t="shared" si="36"/>
        <v>0</v>
      </c>
      <c r="DW14" s="107">
        <f t="shared" si="37"/>
        <v>0</v>
      </c>
      <c r="DX14" s="134">
        <f t="shared" si="38"/>
        <v>0</v>
      </c>
      <c r="DY14" s="135"/>
      <c r="DZ14" s="124">
        <f t="shared" si="39"/>
        <v>0</v>
      </c>
      <c r="EA14" s="136"/>
      <c r="EB14" s="124">
        <f t="shared" si="40"/>
        <v>700</v>
      </c>
      <c r="EC14" s="136"/>
      <c r="ED14" s="124">
        <f t="shared" si="41"/>
        <v>0</v>
      </c>
      <c r="EE14" s="70"/>
      <c r="EF14" s="22"/>
      <c r="EG14" s="13">
        <v>3</v>
      </c>
      <c r="EH14" s="109" t="s">
        <v>69</v>
      </c>
      <c r="EI14" s="107" t="s">
        <v>21</v>
      </c>
      <c r="EJ14" s="109" t="s">
        <v>85</v>
      </c>
      <c r="EK14" s="77"/>
      <c r="EL14" s="77"/>
      <c r="EM14" s="77"/>
      <c r="EN14" s="77"/>
      <c r="EO14" s="77"/>
      <c r="EP14" s="77"/>
      <c r="EQ14" s="77"/>
      <c r="ER14" s="107"/>
      <c r="ES14" s="107"/>
      <c r="ET14" s="107"/>
      <c r="EU14" s="107"/>
      <c r="EV14" s="107"/>
      <c r="EW14" s="107"/>
      <c r="EX14" s="107"/>
      <c r="EY14" s="107"/>
      <c r="EZ14" s="107"/>
      <c r="FA14" s="107">
        <f t="shared" si="11"/>
        <v>0</v>
      </c>
      <c r="FB14" s="107">
        <f t="shared" si="42"/>
        <v>0</v>
      </c>
      <c r="FC14" s="107">
        <f t="shared" si="43"/>
        <v>0</v>
      </c>
      <c r="FD14" s="134">
        <f t="shared" si="44"/>
        <v>0</v>
      </c>
      <c r="FE14" s="135"/>
      <c r="FF14" s="124">
        <f t="shared" si="45"/>
        <v>0</v>
      </c>
      <c r="FG14" s="136"/>
      <c r="FH14" s="124">
        <f t="shared" si="12"/>
        <v>700</v>
      </c>
      <c r="FI14" s="136"/>
      <c r="FJ14" s="124">
        <f t="shared" si="13"/>
        <v>0</v>
      </c>
      <c r="FK14" s="136"/>
      <c r="FL14" s="137"/>
      <c r="FM14" s="138"/>
      <c r="FN14" s="107">
        <f t="shared" si="14"/>
        <v>0</v>
      </c>
      <c r="FO14" s="107">
        <f t="shared" si="46"/>
        <v>0</v>
      </c>
    </row>
    <row r="15" spans="1:171" ht="20.100000000000001" customHeight="1" x14ac:dyDescent="0.25">
      <c r="A15" s="13">
        <v>4</v>
      </c>
      <c r="B15" s="109" t="s">
        <v>111</v>
      </c>
      <c r="C15" s="107" t="s">
        <v>21</v>
      </c>
      <c r="D15" s="143" t="s">
        <v>112</v>
      </c>
      <c r="E15" s="77" t="s">
        <v>23</v>
      </c>
      <c r="F15" s="77">
        <v>3</v>
      </c>
      <c r="G15" s="77" t="s">
        <v>23</v>
      </c>
      <c r="H15" s="77" t="s">
        <v>23</v>
      </c>
      <c r="I15" s="107">
        <f t="shared" si="0"/>
        <v>1</v>
      </c>
      <c r="J15" s="107">
        <f t="shared" si="15"/>
        <v>2</v>
      </c>
      <c r="K15" s="107">
        <f t="shared" si="47"/>
        <v>25</v>
      </c>
      <c r="L15" s="134">
        <f t="shared" si="16"/>
        <v>50</v>
      </c>
      <c r="M15" s="135"/>
      <c r="N15" s="124">
        <f t="shared" si="17"/>
        <v>0</v>
      </c>
      <c r="O15" s="136"/>
      <c r="P15" s="124">
        <f t="shared" si="18"/>
        <v>50</v>
      </c>
      <c r="Q15" s="136"/>
      <c r="R15" s="124">
        <f t="shared" si="19"/>
        <v>0</v>
      </c>
      <c r="S15" s="70"/>
      <c r="T15" s="22"/>
      <c r="U15" s="13">
        <v>4</v>
      </c>
      <c r="V15" s="109" t="s">
        <v>111</v>
      </c>
      <c r="W15" s="107" t="s">
        <v>21</v>
      </c>
      <c r="X15" s="143" t="s">
        <v>112</v>
      </c>
      <c r="Y15" s="77">
        <v>15</v>
      </c>
      <c r="Z15" s="77" t="s">
        <v>23</v>
      </c>
      <c r="AA15" s="77">
        <v>18</v>
      </c>
      <c r="AB15" s="77">
        <v>21</v>
      </c>
      <c r="AC15" s="77" t="s">
        <v>23</v>
      </c>
      <c r="AD15" s="77">
        <v>24</v>
      </c>
      <c r="AE15" s="77">
        <v>27</v>
      </c>
      <c r="AF15" s="77">
        <v>30</v>
      </c>
      <c r="AG15" s="107">
        <f t="shared" si="1"/>
        <v>6</v>
      </c>
      <c r="AH15" s="107">
        <f t="shared" si="20"/>
        <v>12</v>
      </c>
      <c r="AI15" s="107">
        <f t="shared" si="21"/>
        <v>75</v>
      </c>
      <c r="AJ15" s="134">
        <f t="shared" si="22"/>
        <v>300</v>
      </c>
      <c r="AK15" s="135"/>
      <c r="AL15" s="124">
        <f t="shared" si="23"/>
        <v>10</v>
      </c>
      <c r="AM15" s="136"/>
      <c r="AN15" s="124">
        <f t="shared" si="2"/>
        <v>350</v>
      </c>
      <c r="AO15" s="136"/>
      <c r="AP15" s="124">
        <f t="shared" si="3"/>
        <v>10</v>
      </c>
      <c r="AQ15" s="70"/>
      <c r="AR15" s="22"/>
      <c r="AS15" s="13">
        <v>4</v>
      </c>
      <c r="AT15" s="109" t="s">
        <v>111</v>
      </c>
      <c r="AU15" s="107" t="s">
        <v>21</v>
      </c>
      <c r="AV15" s="141" t="s">
        <v>112</v>
      </c>
      <c r="AW15" s="77" t="s">
        <v>23</v>
      </c>
      <c r="AX15" s="77">
        <v>33</v>
      </c>
      <c r="AY15" s="77" t="s">
        <v>23</v>
      </c>
      <c r="AZ15" s="77">
        <v>36</v>
      </c>
      <c r="BA15" s="77">
        <v>39</v>
      </c>
      <c r="BB15" s="77" t="s">
        <v>23</v>
      </c>
      <c r="BC15" s="77">
        <v>41</v>
      </c>
      <c r="BD15" s="77" t="s">
        <v>23</v>
      </c>
      <c r="BE15" s="107">
        <f t="shared" si="4"/>
        <v>4</v>
      </c>
      <c r="BF15" s="107">
        <f t="shared" si="24"/>
        <v>8</v>
      </c>
      <c r="BG15" s="107">
        <f t="shared" si="48"/>
        <v>50</v>
      </c>
      <c r="BH15" s="134">
        <f t="shared" si="25"/>
        <v>200</v>
      </c>
      <c r="BI15" s="135"/>
      <c r="BJ15" s="124">
        <f t="shared" si="26"/>
        <v>5</v>
      </c>
      <c r="BK15" s="136"/>
      <c r="BL15" s="124">
        <f t="shared" si="5"/>
        <v>550</v>
      </c>
      <c r="BM15" s="136"/>
      <c r="BN15" s="124">
        <f t="shared" si="6"/>
        <v>15</v>
      </c>
      <c r="BO15" s="70"/>
      <c r="BP15" s="22"/>
      <c r="BQ15" s="13">
        <v>4</v>
      </c>
      <c r="BR15" s="109" t="s">
        <v>111</v>
      </c>
      <c r="BS15" s="107" t="s">
        <v>21</v>
      </c>
      <c r="BT15" s="141" t="s">
        <v>112</v>
      </c>
      <c r="BU15" s="16">
        <v>42</v>
      </c>
      <c r="BV15" s="16">
        <v>45</v>
      </c>
      <c r="BW15" s="16" t="s">
        <v>23</v>
      </c>
      <c r="BX15" s="16">
        <v>48</v>
      </c>
      <c r="BY15" s="13">
        <f t="shared" si="7"/>
        <v>3</v>
      </c>
      <c r="BZ15" s="13">
        <f t="shared" si="27"/>
        <v>6</v>
      </c>
      <c r="CA15" s="13">
        <f t="shared" si="28"/>
        <v>75</v>
      </c>
      <c r="CB15" s="21">
        <f t="shared" si="49"/>
        <v>150</v>
      </c>
      <c r="CC15" s="69"/>
      <c r="CD15" s="20">
        <f t="shared" si="29"/>
        <v>10</v>
      </c>
      <c r="CE15" s="70"/>
      <c r="CF15" s="20">
        <f t="shared" si="8"/>
        <v>550</v>
      </c>
      <c r="CG15" s="70"/>
      <c r="CH15" s="20"/>
      <c r="CI15" s="70"/>
      <c r="CJ15" s="22"/>
      <c r="CK15" s="13">
        <v>4</v>
      </c>
      <c r="CL15" s="109"/>
      <c r="CM15" s="107"/>
      <c r="CN15" s="109"/>
      <c r="CO15" s="77"/>
      <c r="CP15" s="77"/>
      <c r="CQ15" s="77"/>
      <c r="CR15" s="77"/>
      <c r="CS15" s="77"/>
      <c r="CT15" s="77"/>
      <c r="CU15" s="107"/>
      <c r="CV15" s="107"/>
      <c r="CW15" s="107">
        <f t="shared" si="9"/>
        <v>0</v>
      </c>
      <c r="CX15" s="107">
        <f t="shared" si="30"/>
        <v>0</v>
      </c>
      <c r="CY15" s="107">
        <f t="shared" si="31"/>
        <v>0</v>
      </c>
      <c r="CZ15" s="134">
        <f t="shared" si="32"/>
        <v>0</v>
      </c>
      <c r="DA15" s="135"/>
      <c r="DB15" s="124">
        <f t="shared" si="33"/>
        <v>0</v>
      </c>
      <c r="DC15" s="136"/>
      <c r="DD15" s="124">
        <f t="shared" si="34"/>
        <v>550</v>
      </c>
      <c r="DE15" s="136"/>
      <c r="DF15" s="124">
        <f t="shared" si="35"/>
        <v>0</v>
      </c>
      <c r="DG15" s="70"/>
      <c r="DH15" s="22"/>
      <c r="DI15" s="13">
        <v>4</v>
      </c>
      <c r="DJ15" s="109"/>
      <c r="DK15" s="107"/>
      <c r="DL15" s="109"/>
      <c r="DM15" s="77"/>
      <c r="DN15" s="77"/>
      <c r="DO15" s="77"/>
      <c r="DP15" s="77"/>
      <c r="DQ15" s="77"/>
      <c r="DR15" s="77"/>
      <c r="DS15" s="77"/>
      <c r="DT15" s="107"/>
      <c r="DU15" s="107">
        <f t="shared" si="10"/>
        <v>0</v>
      </c>
      <c r="DV15" s="107">
        <f t="shared" si="36"/>
        <v>0</v>
      </c>
      <c r="DW15" s="107">
        <f t="shared" si="37"/>
        <v>0</v>
      </c>
      <c r="DX15" s="134">
        <f t="shared" si="38"/>
        <v>0</v>
      </c>
      <c r="DY15" s="135"/>
      <c r="DZ15" s="124">
        <f t="shared" si="39"/>
        <v>0</v>
      </c>
      <c r="EA15" s="136"/>
      <c r="EB15" s="124">
        <f t="shared" si="40"/>
        <v>550</v>
      </c>
      <c r="EC15" s="136"/>
      <c r="ED15" s="124">
        <f t="shared" si="41"/>
        <v>0</v>
      </c>
      <c r="EE15" s="70"/>
      <c r="EF15" s="22"/>
      <c r="EG15" s="13">
        <v>4</v>
      </c>
      <c r="EH15" s="109" t="s">
        <v>70</v>
      </c>
      <c r="EI15" s="107" t="s">
        <v>21</v>
      </c>
      <c r="EJ15" s="109" t="s">
        <v>86</v>
      </c>
      <c r="EK15" s="77"/>
      <c r="EL15" s="77"/>
      <c r="EM15" s="77"/>
      <c r="EN15" s="77"/>
      <c r="EO15" s="77"/>
      <c r="EP15" s="77"/>
      <c r="EQ15" s="77"/>
      <c r="ER15" s="107"/>
      <c r="ES15" s="107"/>
      <c r="ET15" s="107"/>
      <c r="EU15" s="107"/>
      <c r="EV15" s="107"/>
      <c r="EW15" s="107"/>
      <c r="EX15" s="107"/>
      <c r="EY15" s="107"/>
      <c r="EZ15" s="107"/>
      <c r="FA15" s="107">
        <f t="shared" si="11"/>
        <v>0</v>
      </c>
      <c r="FB15" s="107">
        <f t="shared" si="42"/>
        <v>0</v>
      </c>
      <c r="FC15" s="107">
        <f t="shared" si="43"/>
        <v>0</v>
      </c>
      <c r="FD15" s="134">
        <f t="shared" si="44"/>
        <v>0</v>
      </c>
      <c r="FE15" s="135"/>
      <c r="FF15" s="124">
        <f t="shared" si="45"/>
        <v>0</v>
      </c>
      <c r="FG15" s="136"/>
      <c r="FH15" s="124">
        <f t="shared" si="12"/>
        <v>550</v>
      </c>
      <c r="FI15" s="136"/>
      <c r="FJ15" s="124">
        <f t="shared" si="13"/>
        <v>0</v>
      </c>
      <c r="FK15" s="136"/>
      <c r="FL15" s="137"/>
      <c r="FM15" s="138"/>
      <c r="FN15" s="107">
        <f t="shared" si="14"/>
        <v>0</v>
      </c>
      <c r="FO15" s="107">
        <f t="shared" si="46"/>
        <v>0</v>
      </c>
    </row>
    <row r="16" spans="1:171" ht="20.100000000000001" customHeight="1" x14ac:dyDescent="0.25">
      <c r="A16" s="13">
        <v>5</v>
      </c>
      <c r="B16" s="109" t="s">
        <v>113</v>
      </c>
      <c r="C16" s="107" t="s">
        <v>21</v>
      </c>
      <c r="D16" s="143" t="s">
        <v>114</v>
      </c>
      <c r="E16" s="77">
        <v>3</v>
      </c>
      <c r="F16" s="77">
        <v>6</v>
      </c>
      <c r="G16" s="77">
        <v>9</v>
      </c>
      <c r="H16" s="77">
        <v>12</v>
      </c>
      <c r="I16" s="107">
        <f t="shared" si="0"/>
        <v>4</v>
      </c>
      <c r="J16" s="107">
        <f t="shared" si="15"/>
        <v>8</v>
      </c>
      <c r="K16" s="107">
        <f t="shared" si="47"/>
        <v>100</v>
      </c>
      <c r="L16" s="134">
        <f t="shared" si="16"/>
        <v>200</v>
      </c>
      <c r="M16" s="135"/>
      <c r="N16" s="124">
        <f t="shared" si="17"/>
        <v>10</v>
      </c>
      <c r="O16" s="136"/>
      <c r="P16" s="124">
        <f t="shared" si="18"/>
        <v>200</v>
      </c>
      <c r="Q16" s="136"/>
      <c r="R16" s="124">
        <f t="shared" si="19"/>
        <v>10</v>
      </c>
      <c r="S16" s="70"/>
      <c r="T16" s="22"/>
      <c r="U16" s="13">
        <v>5</v>
      </c>
      <c r="V16" s="109" t="s">
        <v>113</v>
      </c>
      <c r="W16" s="107" t="s">
        <v>21</v>
      </c>
      <c r="X16" s="143" t="s">
        <v>114</v>
      </c>
      <c r="Y16" s="77">
        <v>15</v>
      </c>
      <c r="Z16" s="77" t="s">
        <v>23</v>
      </c>
      <c r="AA16" s="77">
        <v>18</v>
      </c>
      <c r="AB16" s="77">
        <v>21</v>
      </c>
      <c r="AC16" s="77">
        <v>24</v>
      </c>
      <c r="AD16" s="77">
        <v>27</v>
      </c>
      <c r="AE16" s="77">
        <v>30</v>
      </c>
      <c r="AF16" s="77" t="s">
        <v>23</v>
      </c>
      <c r="AG16" s="107">
        <f t="shared" si="1"/>
        <v>6</v>
      </c>
      <c r="AH16" s="107">
        <f t="shared" si="20"/>
        <v>12</v>
      </c>
      <c r="AI16" s="107">
        <f t="shared" si="21"/>
        <v>75</v>
      </c>
      <c r="AJ16" s="134">
        <f t="shared" si="22"/>
        <v>300</v>
      </c>
      <c r="AK16" s="135"/>
      <c r="AL16" s="124">
        <f t="shared" si="23"/>
        <v>10</v>
      </c>
      <c r="AM16" s="136"/>
      <c r="AN16" s="124">
        <f t="shared" si="2"/>
        <v>500</v>
      </c>
      <c r="AO16" s="136"/>
      <c r="AP16" s="124">
        <f t="shared" si="3"/>
        <v>20</v>
      </c>
      <c r="AQ16" s="70"/>
      <c r="AR16" s="22"/>
      <c r="AS16" s="13">
        <v>5</v>
      </c>
      <c r="AT16" s="109" t="s">
        <v>113</v>
      </c>
      <c r="AU16" s="107" t="s">
        <v>21</v>
      </c>
      <c r="AV16" s="141" t="s">
        <v>114</v>
      </c>
      <c r="AW16" s="77">
        <v>33</v>
      </c>
      <c r="AX16" s="77">
        <v>36</v>
      </c>
      <c r="AY16" s="77">
        <v>39</v>
      </c>
      <c r="AZ16" s="77">
        <v>41</v>
      </c>
      <c r="BA16" s="77">
        <v>45</v>
      </c>
      <c r="BB16" s="77">
        <v>48</v>
      </c>
      <c r="BC16" s="77" t="s">
        <v>23</v>
      </c>
      <c r="BD16" s="77">
        <v>51</v>
      </c>
      <c r="BE16" s="107">
        <f t="shared" si="4"/>
        <v>7</v>
      </c>
      <c r="BF16" s="107">
        <f t="shared" si="24"/>
        <v>14</v>
      </c>
      <c r="BG16" s="107">
        <f t="shared" si="48"/>
        <v>87.5</v>
      </c>
      <c r="BH16" s="134">
        <f t="shared" si="25"/>
        <v>350</v>
      </c>
      <c r="BI16" s="135"/>
      <c r="BJ16" s="124">
        <f t="shared" si="26"/>
        <v>10</v>
      </c>
      <c r="BK16" s="136"/>
      <c r="BL16" s="124">
        <f t="shared" si="5"/>
        <v>850</v>
      </c>
      <c r="BM16" s="136"/>
      <c r="BN16" s="124">
        <f t="shared" si="6"/>
        <v>30</v>
      </c>
      <c r="BO16" s="70"/>
      <c r="BP16" s="22"/>
      <c r="BQ16" s="13">
        <v>5</v>
      </c>
      <c r="BR16" s="109" t="s">
        <v>113</v>
      </c>
      <c r="BS16" s="107" t="s">
        <v>21</v>
      </c>
      <c r="BT16" s="141" t="s">
        <v>114</v>
      </c>
      <c r="BU16" s="16" t="s">
        <v>23</v>
      </c>
      <c r="BV16" s="16">
        <v>54</v>
      </c>
      <c r="BW16" s="16">
        <v>57</v>
      </c>
      <c r="BX16" s="16">
        <v>60</v>
      </c>
      <c r="BY16" s="13">
        <f t="shared" si="7"/>
        <v>3</v>
      </c>
      <c r="BZ16" s="13">
        <f t="shared" si="27"/>
        <v>6</v>
      </c>
      <c r="CA16" s="13">
        <f t="shared" si="28"/>
        <v>75</v>
      </c>
      <c r="CB16" s="21">
        <f t="shared" si="49"/>
        <v>150</v>
      </c>
      <c r="CC16" s="69"/>
      <c r="CD16" s="20">
        <f t="shared" si="29"/>
        <v>10</v>
      </c>
      <c r="CE16" s="70"/>
      <c r="CF16" s="20">
        <f t="shared" si="8"/>
        <v>850</v>
      </c>
      <c r="CG16" s="70"/>
      <c r="CH16" s="20"/>
      <c r="CI16" s="70"/>
      <c r="CJ16" s="22"/>
      <c r="CK16" s="13">
        <v>5</v>
      </c>
      <c r="CL16" s="109"/>
      <c r="CM16" s="107"/>
      <c r="CN16" s="109"/>
      <c r="CO16" s="77"/>
      <c r="CP16" s="77"/>
      <c r="CQ16" s="77"/>
      <c r="CR16" s="77"/>
      <c r="CS16" s="107"/>
      <c r="CT16" s="107"/>
      <c r="CU16" s="107"/>
      <c r="CV16" s="107"/>
      <c r="CW16" s="107">
        <f t="shared" si="9"/>
        <v>0</v>
      </c>
      <c r="CX16" s="107">
        <f t="shared" si="30"/>
        <v>0</v>
      </c>
      <c r="CY16" s="107">
        <f t="shared" si="31"/>
        <v>0</v>
      </c>
      <c r="CZ16" s="134">
        <f t="shared" si="32"/>
        <v>0</v>
      </c>
      <c r="DA16" s="135"/>
      <c r="DB16" s="124">
        <f t="shared" si="33"/>
        <v>0</v>
      </c>
      <c r="DC16" s="136"/>
      <c r="DD16" s="124">
        <f t="shared" si="34"/>
        <v>850</v>
      </c>
      <c r="DE16" s="136"/>
      <c r="DF16" s="124">
        <f t="shared" si="35"/>
        <v>0</v>
      </c>
      <c r="DG16" s="70"/>
      <c r="DH16" s="22"/>
      <c r="DI16" s="13">
        <v>5</v>
      </c>
      <c r="DJ16" s="109"/>
      <c r="DK16" s="107"/>
      <c r="DL16" s="109"/>
      <c r="DM16" s="77"/>
      <c r="DN16" s="77"/>
      <c r="DO16" s="77"/>
      <c r="DP16" s="77"/>
      <c r="DQ16" s="77"/>
      <c r="DR16" s="77"/>
      <c r="DS16" s="77"/>
      <c r="DT16" s="107"/>
      <c r="DU16" s="107">
        <f t="shared" si="10"/>
        <v>0</v>
      </c>
      <c r="DV16" s="107">
        <f t="shared" si="36"/>
        <v>0</v>
      </c>
      <c r="DW16" s="107">
        <f t="shared" si="37"/>
        <v>0</v>
      </c>
      <c r="DX16" s="134">
        <f t="shared" si="38"/>
        <v>0</v>
      </c>
      <c r="DY16" s="135"/>
      <c r="DZ16" s="124">
        <f t="shared" si="39"/>
        <v>0</v>
      </c>
      <c r="EA16" s="136"/>
      <c r="EB16" s="124">
        <f t="shared" si="40"/>
        <v>850</v>
      </c>
      <c r="EC16" s="136"/>
      <c r="ED16" s="124">
        <f t="shared" si="41"/>
        <v>0</v>
      </c>
      <c r="EE16" s="70"/>
      <c r="EF16" s="22"/>
      <c r="EG16" s="13">
        <v>5</v>
      </c>
      <c r="EH16" s="109" t="s">
        <v>71</v>
      </c>
      <c r="EI16" s="107" t="s">
        <v>21</v>
      </c>
      <c r="EJ16" s="109" t="s">
        <v>87</v>
      </c>
      <c r="EK16" s="77"/>
      <c r="EL16" s="77"/>
      <c r="EM16" s="77"/>
      <c r="EN16" s="77"/>
      <c r="EO16" s="77"/>
      <c r="EP16" s="77"/>
      <c r="EQ16" s="77"/>
      <c r="ER16" s="107"/>
      <c r="ES16" s="107"/>
      <c r="ET16" s="107"/>
      <c r="EU16" s="107"/>
      <c r="EV16" s="107"/>
      <c r="EW16" s="107"/>
      <c r="EX16" s="107"/>
      <c r="EY16" s="107"/>
      <c r="EZ16" s="107"/>
      <c r="FA16" s="107">
        <f t="shared" si="11"/>
        <v>0</v>
      </c>
      <c r="FB16" s="107">
        <f t="shared" si="42"/>
        <v>0</v>
      </c>
      <c r="FC16" s="107">
        <f t="shared" si="43"/>
        <v>0</v>
      </c>
      <c r="FD16" s="134">
        <f t="shared" si="44"/>
        <v>0</v>
      </c>
      <c r="FE16" s="135"/>
      <c r="FF16" s="124">
        <f t="shared" si="45"/>
        <v>0</v>
      </c>
      <c r="FG16" s="136"/>
      <c r="FH16" s="124">
        <f t="shared" si="12"/>
        <v>850</v>
      </c>
      <c r="FI16" s="136"/>
      <c r="FJ16" s="124">
        <f t="shared" si="13"/>
        <v>0</v>
      </c>
      <c r="FK16" s="136"/>
      <c r="FL16" s="137"/>
      <c r="FM16" s="138"/>
      <c r="FN16" s="107">
        <f t="shared" si="14"/>
        <v>0</v>
      </c>
      <c r="FO16" s="107">
        <f t="shared" si="46"/>
        <v>0</v>
      </c>
    </row>
    <row r="17" spans="1:171" ht="20.100000000000001" customHeight="1" x14ac:dyDescent="0.25">
      <c r="A17" s="13">
        <v>6</v>
      </c>
      <c r="B17" s="109" t="s">
        <v>115</v>
      </c>
      <c r="C17" s="107" t="s">
        <v>21</v>
      </c>
      <c r="D17" s="143" t="s">
        <v>116</v>
      </c>
      <c r="E17" s="77">
        <v>3</v>
      </c>
      <c r="F17" s="77">
        <v>6</v>
      </c>
      <c r="G17" s="77">
        <v>9</v>
      </c>
      <c r="H17" s="77">
        <v>12</v>
      </c>
      <c r="I17" s="107">
        <f t="shared" si="0"/>
        <v>4</v>
      </c>
      <c r="J17" s="107">
        <f t="shared" si="15"/>
        <v>8</v>
      </c>
      <c r="K17" s="107">
        <f t="shared" si="47"/>
        <v>100</v>
      </c>
      <c r="L17" s="134">
        <f t="shared" si="16"/>
        <v>200</v>
      </c>
      <c r="M17" s="135"/>
      <c r="N17" s="124">
        <f t="shared" si="17"/>
        <v>10</v>
      </c>
      <c r="O17" s="136"/>
      <c r="P17" s="124">
        <f t="shared" si="18"/>
        <v>200</v>
      </c>
      <c r="Q17" s="136"/>
      <c r="R17" s="124">
        <f t="shared" si="19"/>
        <v>10</v>
      </c>
      <c r="S17" s="70"/>
      <c r="T17" s="22"/>
      <c r="U17" s="13">
        <v>6</v>
      </c>
      <c r="V17" s="109" t="s">
        <v>115</v>
      </c>
      <c r="W17" s="107" t="s">
        <v>21</v>
      </c>
      <c r="X17" s="143" t="s">
        <v>116</v>
      </c>
      <c r="Y17" s="77">
        <v>15</v>
      </c>
      <c r="Z17" s="77">
        <v>18</v>
      </c>
      <c r="AA17" s="77" t="s">
        <v>23</v>
      </c>
      <c r="AB17" s="77">
        <v>21</v>
      </c>
      <c r="AC17" s="77">
        <v>24</v>
      </c>
      <c r="AD17" s="77">
        <v>27</v>
      </c>
      <c r="AE17" s="77">
        <v>30</v>
      </c>
      <c r="AF17" s="77" t="s">
        <v>23</v>
      </c>
      <c r="AG17" s="107">
        <f t="shared" si="1"/>
        <v>6</v>
      </c>
      <c r="AH17" s="107">
        <f t="shared" si="20"/>
        <v>12</v>
      </c>
      <c r="AI17" s="107">
        <f t="shared" si="21"/>
        <v>75</v>
      </c>
      <c r="AJ17" s="134">
        <f t="shared" si="22"/>
        <v>300</v>
      </c>
      <c r="AK17" s="135"/>
      <c r="AL17" s="124">
        <f t="shared" si="23"/>
        <v>10</v>
      </c>
      <c r="AM17" s="136"/>
      <c r="AN17" s="124">
        <f t="shared" si="2"/>
        <v>500</v>
      </c>
      <c r="AO17" s="136"/>
      <c r="AP17" s="124">
        <f t="shared" si="3"/>
        <v>20</v>
      </c>
      <c r="AQ17" s="70"/>
      <c r="AR17" s="22"/>
      <c r="AS17" s="13">
        <v>6</v>
      </c>
      <c r="AT17" s="109" t="s">
        <v>115</v>
      </c>
      <c r="AU17" s="107" t="s">
        <v>21</v>
      </c>
      <c r="AV17" s="141" t="s">
        <v>116</v>
      </c>
      <c r="AW17" s="77">
        <v>33</v>
      </c>
      <c r="AX17" s="77">
        <v>36</v>
      </c>
      <c r="AY17" s="77" t="s">
        <v>23</v>
      </c>
      <c r="AZ17" s="77">
        <v>39</v>
      </c>
      <c r="BA17" s="77">
        <v>42</v>
      </c>
      <c r="BB17" s="77">
        <v>45</v>
      </c>
      <c r="BC17" s="77" t="s">
        <v>23</v>
      </c>
      <c r="BD17" s="77">
        <v>48</v>
      </c>
      <c r="BE17" s="107">
        <f t="shared" si="4"/>
        <v>6</v>
      </c>
      <c r="BF17" s="107">
        <f t="shared" si="24"/>
        <v>12</v>
      </c>
      <c r="BG17" s="107">
        <f t="shared" si="48"/>
        <v>75</v>
      </c>
      <c r="BH17" s="134">
        <f t="shared" si="25"/>
        <v>300</v>
      </c>
      <c r="BI17" s="135"/>
      <c r="BJ17" s="124">
        <f t="shared" si="26"/>
        <v>10</v>
      </c>
      <c r="BK17" s="136"/>
      <c r="BL17" s="124">
        <f t="shared" si="5"/>
        <v>800</v>
      </c>
      <c r="BM17" s="136"/>
      <c r="BN17" s="124">
        <f t="shared" si="6"/>
        <v>30</v>
      </c>
      <c r="BO17" s="70"/>
      <c r="BP17" s="22"/>
      <c r="BQ17" s="13">
        <v>6</v>
      </c>
      <c r="BR17" s="109" t="s">
        <v>115</v>
      </c>
      <c r="BS17" s="107" t="s">
        <v>21</v>
      </c>
      <c r="BT17" s="141" t="s">
        <v>116</v>
      </c>
      <c r="BU17" s="16">
        <v>51</v>
      </c>
      <c r="BV17" s="16" t="s">
        <v>23</v>
      </c>
      <c r="BW17" s="16">
        <v>54</v>
      </c>
      <c r="BX17" s="16" t="s">
        <v>23</v>
      </c>
      <c r="BY17" s="13">
        <f t="shared" si="7"/>
        <v>2</v>
      </c>
      <c r="BZ17" s="13">
        <f t="shared" si="27"/>
        <v>4</v>
      </c>
      <c r="CA17" s="13">
        <f t="shared" si="28"/>
        <v>50</v>
      </c>
      <c r="CB17" s="21">
        <f t="shared" si="49"/>
        <v>100</v>
      </c>
      <c r="CC17" s="69"/>
      <c r="CD17" s="20">
        <f t="shared" si="29"/>
        <v>5</v>
      </c>
      <c r="CE17" s="70"/>
      <c r="CF17" s="20">
        <f t="shared" si="8"/>
        <v>800</v>
      </c>
      <c r="CG17" s="70"/>
      <c r="CH17" s="20"/>
      <c r="CI17" s="70"/>
      <c r="CJ17" s="22"/>
      <c r="CK17" s="13">
        <v>6</v>
      </c>
      <c r="CL17" s="109"/>
      <c r="CM17" s="107"/>
      <c r="CN17" s="109"/>
      <c r="CO17" s="77"/>
      <c r="CP17" s="77"/>
      <c r="CQ17" s="77"/>
      <c r="CR17" s="77"/>
      <c r="CS17" s="77"/>
      <c r="CT17" s="107"/>
      <c r="CU17" s="107"/>
      <c r="CV17" s="107"/>
      <c r="CW17" s="107">
        <f t="shared" si="9"/>
        <v>0</v>
      </c>
      <c r="CX17" s="107">
        <f t="shared" si="30"/>
        <v>0</v>
      </c>
      <c r="CY17" s="107">
        <f t="shared" si="31"/>
        <v>0</v>
      </c>
      <c r="CZ17" s="134">
        <f t="shared" si="32"/>
        <v>0</v>
      </c>
      <c r="DA17" s="135"/>
      <c r="DB17" s="124">
        <f t="shared" si="33"/>
        <v>0</v>
      </c>
      <c r="DC17" s="136"/>
      <c r="DD17" s="124">
        <f t="shared" si="34"/>
        <v>800</v>
      </c>
      <c r="DE17" s="136"/>
      <c r="DF17" s="124">
        <f t="shared" si="35"/>
        <v>0</v>
      </c>
      <c r="DG17" s="70"/>
      <c r="DH17" s="22"/>
      <c r="DI17" s="13">
        <v>6</v>
      </c>
      <c r="DJ17" s="109"/>
      <c r="DK17" s="107"/>
      <c r="DL17" s="109"/>
      <c r="DM17" s="77"/>
      <c r="DN17" s="77"/>
      <c r="DO17" s="77"/>
      <c r="DP17" s="77"/>
      <c r="DQ17" s="77"/>
      <c r="DR17" s="77"/>
      <c r="DS17" s="77"/>
      <c r="DT17" s="107"/>
      <c r="DU17" s="107">
        <f t="shared" si="10"/>
        <v>0</v>
      </c>
      <c r="DV17" s="107">
        <f t="shared" si="36"/>
        <v>0</v>
      </c>
      <c r="DW17" s="107">
        <f t="shared" si="37"/>
        <v>0</v>
      </c>
      <c r="DX17" s="134">
        <f t="shared" si="38"/>
        <v>0</v>
      </c>
      <c r="DY17" s="135"/>
      <c r="DZ17" s="124">
        <f t="shared" si="39"/>
        <v>0</v>
      </c>
      <c r="EA17" s="136"/>
      <c r="EB17" s="124">
        <f t="shared" si="40"/>
        <v>800</v>
      </c>
      <c r="EC17" s="136"/>
      <c r="ED17" s="124">
        <f t="shared" si="41"/>
        <v>0</v>
      </c>
      <c r="EE17" s="70"/>
      <c r="EF17" s="22"/>
      <c r="EG17" s="13">
        <v>6</v>
      </c>
      <c r="EH17" s="109" t="s">
        <v>72</v>
      </c>
      <c r="EI17" s="107" t="s">
        <v>21</v>
      </c>
      <c r="EJ17" s="109" t="s">
        <v>88</v>
      </c>
      <c r="EK17" s="77"/>
      <c r="EL17" s="77"/>
      <c r="EM17" s="77"/>
      <c r="EN17" s="77"/>
      <c r="EO17" s="77"/>
      <c r="EP17" s="77"/>
      <c r="EQ17" s="77"/>
      <c r="ER17" s="107"/>
      <c r="ES17" s="107"/>
      <c r="ET17" s="107"/>
      <c r="EU17" s="107"/>
      <c r="EV17" s="107"/>
      <c r="EW17" s="107"/>
      <c r="EX17" s="107"/>
      <c r="EY17" s="107"/>
      <c r="EZ17" s="107"/>
      <c r="FA17" s="107">
        <f t="shared" si="11"/>
        <v>0</v>
      </c>
      <c r="FB17" s="107">
        <f t="shared" si="42"/>
        <v>0</v>
      </c>
      <c r="FC17" s="107">
        <f t="shared" si="43"/>
        <v>0</v>
      </c>
      <c r="FD17" s="134">
        <f t="shared" si="44"/>
        <v>0</v>
      </c>
      <c r="FE17" s="135"/>
      <c r="FF17" s="124">
        <f t="shared" si="45"/>
        <v>0</v>
      </c>
      <c r="FG17" s="136"/>
      <c r="FH17" s="124">
        <f t="shared" si="12"/>
        <v>800</v>
      </c>
      <c r="FI17" s="136"/>
      <c r="FJ17" s="124">
        <f t="shared" si="13"/>
        <v>0</v>
      </c>
      <c r="FK17" s="136"/>
      <c r="FL17" s="137"/>
      <c r="FM17" s="138"/>
      <c r="FN17" s="107">
        <f t="shared" si="14"/>
        <v>0</v>
      </c>
      <c r="FO17" s="107">
        <f t="shared" si="46"/>
        <v>0</v>
      </c>
    </row>
    <row r="18" spans="1:171" ht="20.100000000000001" customHeight="1" x14ac:dyDescent="0.25">
      <c r="A18" s="13">
        <v>7</v>
      </c>
      <c r="B18" s="109" t="s">
        <v>117</v>
      </c>
      <c r="C18" s="107" t="s">
        <v>21</v>
      </c>
      <c r="D18" s="143" t="s">
        <v>118</v>
      </c>
      <c r="E18" s="77">
        <v>3</v>
      </c>
      <c r="F18" s="77">
        <v>6</v>
      </c>
      <c r="G18" s="77">
        <v>9</v>
      </c>
      <c r="H18" s="77">
        <v>12</v>
      </c>
      <c r="I18" s="107">
        <f t="shared" si="0"/>
        <v>4</v>
      </c>
      <c r="J18" s="107">
        <f t="shared" si="15"/>
        <v>8</v>
      </c>
      <c r="K18" s="107">
        <f t="shared" si="47"/>
        <v>100</v>
      </c>
      <c r="L18" s="134">
        <f t="shared" si="16"/>
        <v>200</v>
      </c>
      <c r="M18" s="135"/>
      <c r="N18" s="124">
        <f t="shared" si="17"/>
        <v>10</v>
      </c>
      <c r="O18" s="136"/>
      <c r="P18" s="124">
        <f t="shared" si="18"/>
        <v>200</v>
      </c>
      <c r="Q18" s="136"/>
      <c r="R18" s="124">
        <f t="shared" si="19"/>
        <v>10</v>
      </c>
      <c r="S18" s="70"/>
      <c r="T18" s="22"/>
      <c r="U18" s="13">
        <v>7</v>
      </c>
      <c r="V18" s="109" t="s">
        <v>117</v>
      </c>
      <c r="W18" s="107" t="s">
        <v>21</v>
      </c>
      <c r="X18" s="143" t="s">
        <v>118</v>
      </c>
      <c r="Y18" s="77">
        <v>15</v>
      </c>
      <c r="Z18" s="77">
        <v>18</v>
      </c>
      <c r="AA18" s="77">
        <v>21</v>
      </c>
      <c r="AB18" s="77">
        <v>24</v>
      </c>
      <c r="AC18" s="77">
        <v>27</v>
      </c>
      <c r="AD18" s="77">
        <v>30</v>
      </c>
      <c r="AE18" s="77" t="s">
        <v>23</v>
      </c>
      <c r="AF18" s="77" t="s">
        <v>23</v>
      </c>
      <c r="AG18" s="107">
        <f t="shared" si="1"/>
        <v>6</v>
      </c>
      <c r="AH18" s="107">
        <f t="shared" si="20"/>
        <v>12</v>
      </c>
      <c r="AI18" s="107">
        <f t="shared" si="21"/>
        <v>75</v>
      </c>
      <c r="AJ18" s="134">
        <f t="shared" si="22"/>
        <v>300</v>
      </c>
      <c r="AK18" s="135"/>
      <c r="AL18" s="124">
        <f t="shared" si="23"/>
        <v>10</v>
      </c>
      <c r="AM18" s="136"/>
      <c r="AN18" s="124">
        <f t="shared" si="2"/>
        <v>500</v>
      </c>
      <c r="AO18" s="136"/>
      <c r="AP18" s="124">
        <f t="shared" si="3"/>
        <v>20</v>
      </c>
      <c r="AQ18" s="70"/>
      <c r="AR18" s="22"/>
      <c r="AS18" s="13">
        <v>7</v>
      </c>
      <c r="AT18" s="109" t="s">
        <v>117</v>
      </c>
      <c r="AU18" s="107" t="s">
        <v>21</v>
      </c>
      <c r="AV18" s="141" t="s">
        <v>118</v>
      </c>
      <c r="AW18" s="77">
        <v>33</v>
      </c>
      <c r="AX18" s="77">
        <v>36</v>
      </c>
      <c r="AY18" s="77" t="s">
        <v>23</v>
      </c>
      <c r="AZ18" s="77">
        <v>39</v>
      </c>
      <c r="BA18" s="77" t="s">
        <v>23</v>
      </c>
      <c r="BB18" s="77">
        <v>42</v>
      </c>
      <c r="BC18" s="77">
        <v>45</v>
      </c>
      <c r="BD18" s="77">
        <v>48</v>
      </c>
      <c r="BE18" s="107">
        <f t="shared" si="4"/>
        <v>6</v>
      </c>
      <c r="BF18" s="107">
        <f t="shared" si="24"/>
        <v>12</v>
      </c>
      <c r="BG18" s="107">
        <f t="shared" si="48"/>
        <v>75</v>
      </c>
      <c r="BH18" s="134">
        <f t="shared" si="25"/>
        <v>300</v>
      </c>
      <c r="BI18" s="135"/>
      <c r="BJ18" s="124">
        <f t="shared" si="26"/>
        <v>10</v>
      </c>
      <c r="BK18" s="136"/>
      <c r="BL18" s="124">
        <f t="shared" si="5"/>
        <v>800</v>
      </c>
      <c r="BM18" s="136"/>
      <c r="BN18" s="124">
        <f t="shared" si="6"/>
        <v>30</v>
      </c>
      <c r="BO18" s="70"/>
      <c r="BP18" s="22"/>
      <c r="BQ18" s="13">
        <v>7</v>
      </c>
      <c r="BR18" s="109" t="s">
        <v>117</v>
      </c>
      <c r="BS18" s="107" t="s">
        <v>21</v>
      </c>
      <c r="BT18" s="141" t="s">
        <v>118</v>
      </c>
      <c r="BU18" s="16" t="s">
        <v>23</v>
      </c>
      <c r="BV18" s="16">
        <v>51</v>
      </c>
      <c r="BW18" s="16" t="s">
        <v>23</v>
      </c>
      <c r="BX18" s="16">
        <v>54</v>
      </c>
      <c r="BY18" s="13">
        <f t="shared" si="7"/>
        <v>2</v>
      </c>
      <c r="BZ18" s="13">
        <f t="shared" si="27"/>
        <v>4</v>
      </c>
      <c r="CA18" s="13">
        <f t="shared" si="28"/>
        <v>50</v>
      </c>
      <c r="CB18" s="21">
        <f t="shared" si="49"/>
        <v>100</v>
      </c>
      <c r="CC18" s="69"/>
      <c r="CD18" s="20">
        <f t="shared" si="29"/>
        <v>5</v>
      </c>
      <c r="CE18" s="70"/>
      <c r="CF18" s="20">
        <f t="shared" si="8"/>
        <v>800</v>
      </c>
      <c r="CG18" s="70"/>
      <c r="CH18" s="20"/>
      <c r="CI18" s="70"/>
      <c r="CJ18" s="22"/>
      <c r="CK18" s="13">
        <v>7</v>
      </c>
      <c r="CL18" s="109"/>
      <c r="CM18" s="107"/>
      <c r="CN18" s="109"/>
      <c r="CO18" s="77"/>
      <c r="CP18" s="77"/>
      <c r="CQ18" s="77"/>
      <c r="CR18" s="77"/>
      <c r="CS18" s="77"/>
      <c r="CT18" s="107"/>
      <c r="CU18" s="107"/>
      <c r="CV18" s="107"/>
      <c r="CW18" s="107">
        <f t="shared" si="9"/>
        <v>0</v>
      </c>
      <c r="CX18" s="107">
        <f t="shared" si="30"/>
        <v>0</v>
      </c>
      <c r="CY18" s="107">
        <f t="shared" si="31"/>
        <v>0</v>
      </c>
      <c r="CZ18" s="134">
        <f t="shared" si="32"/>
        <v>0</v>
      </c>
      <c r="DA18" s="135"/>
      <c r="DB18" s="124">
        <f t="shared" si="33"/>
        <v>0</v>
      </c>
      <c r="DC18" s="136"/>
      <c r="DD18" s="124">
        <f t="shared" si="34"/>
        <v>800</v>
      </c>
      <c r="DE18" s="136"/>
      <c r="DF18" s="124">
        <f t="shared" si="35"/>
        <v>0</v>
      </c>
      <c r="DG18" s="70"/>
      <c r="DH18" s="22"/>
      <c r="DI18" s="13">
        <v>7</v>
      </c>
      <c r="DJ18" s="109"/>
      <c r="DK18" s="107"/>
      <c r="DL18" s="109"/>
      <c r="DM18" s="77"/>
      <c r="DN18" s="77"/>
      <c r="DO18" s="77"/>
      <c r="DP18" s="77"/>
      <c r="DQ18" s="77"/>
      <c r="DR18" s="77"/>
      <c r="DS18" s="77"/>
      <c r="DT18" s="107"/>
      <c r="DU18" s="107">
        <f t="shared" si="10"/>
        <v>0</v>
      </c>
      <c r="DV18" s="107">
        <f t="shared" si="36"/>
        <v>0</v>
      </c>
      <c r="DW18" s="107">
        <f t="shared" si="37"/>
        <v>0</v>
      </c>
      <c r="DX18" s="134">
        <f t="shared" si="38"/>
        <v>0</v>
      </c>
      <c r="DY18" s="135"/>
      <c r="DZ18" s="124">
        <f t="shared" si="39"/>
        <v>0</v>
      </c>
      <c r="EA18" s="136"/>
      <c r="EB18" s="124">
        <f t="shared" si="40"/>
        <v>800</v>
      </c>
      <c r="EC18" s="136"/>
      <c r="ED18" s="124">
        <f t="shared" si="41"/>
        <v>0</v>
      </c>
      <c r="EE18" s="70"/>
      <c r="EF18" s="22"/>
      <c r="EG18" s="13">
        <v>7</v>
      </c>
      <c r="EH18" s="109" t="s">
        <v>73</v>
      </c>
      <c r="EI18" s="107" t="s">
        <v>273</v>
      </c>
      <c r="EJ18" s="109" t="s">
        <v>89</v>
      </c>
      <c r="EK18" s="77"/>
      <c r="EL18" s="77"/>
      <c r="EM18" s="77"/>
      <c r="EN18" s="77"/>
      <c r="EO18" s="77"/>
      <c r="EP18" s="77"/>
      <c r="EQ18" s="77"/>
      <c r="ER18" s="107"/>
      <c r="ES18" s="107"/>
      <c r="ET18" s="107"/>
      <c r="EU18" s="107"/>
      <c r="EV18" s="107"/>
      <c r="EW18" s="107"/>
      <c r="EX18" s="107"/>
      <c r="EY18" s="107"/>
      <c r="EZ18" s="107"/>
      <c r="FA18" s="107">
        <f t="shared" si="11"/>
        <v>0</v>
      </c>
      <c r="FB18" s="107">
        <f t="shared" si="42"/>
        <v>0</v>
      </c>
      <c r="FC18" s="107">
        <f t="shared" si="43"/>
        <v>0</v>
      </c>
      <c r="FD18" s="134">
        <f t="shared" si="44"/>
        <v>0</v>
      </c>
      <c r="FE18" s="135"/>
      <c r="FF18" s="124">
        <f t="shared" si="45"/>
        <v>0</v>
      </c>
      <c r="FG18" s="136"/>
      <c r="FH18" s="124">
        <f t="shared" si="12"/>
        <v>800</v>
      </c>
      <c r="FI18" s="136"/>
      <c r="FJ18" s="124">
        <f t="shared" si="13"/>
        <v>0</v>
      </c>
      <c r="FK18" s="136"/>
      <c r="FL18" s="137"/>
      <c r="FM18" s="138"/>
      <c r="FN18" s="107">
        <f t="shared" si="14"/>
        <v>0</v>
      </c>
      <c r="FO18" s="107">
        <f t="shared" si="46"/>
        <v>0</v>
      </c>
    </row>
    <row r="19" spans="1:171" ht="20.100000000000001" customHeight="1" x14ac:dyDescent="0.25">
      <c r="A19" s="13">
        <v>8</v>
      </c>
      <c r="B19" s="109" t="s">
        <v>119</v>
      </c>
      <c r="C19" s="107" t="s">
        <v>21</v>
      </c>
      <c r="D19" s="143" t="s">
        <v>120</v>
      </c>
      <c r="E19" s="77">
        <v>3</v>
      </c>
      <c r="F19" s="77" t="s">
        <v>23</v>
      </c>
      <c r="G19" s="77" t="s">
        <v>23</v>
      </c>
      <c r="H19" s="77" t="s">
        <v>23</v>
      </c>
      <c r="I19" s="107">
        <f t="shared" si="0"/>
        <v>1</v>
      </c>
      <c r="J19" s="107">
        <f t="shared" si="15"/>
        <v>2</v>
      </c>
      <c r="K19" s="107">
        <f t="shared" si="47"/>
        <v>25</v>
      </c>
      <c r="L19" s="134">
        <f t="shared" si="16"/>
        <v>50</v>
      </c>
      <c r="M19" s="135"/>
      <c r="N19" s="124">
        <f t="shared" si="17"/>
        <v>0</v>
      </c>
      <c r="O19" s="136"/>
      <c r="P19" s="124">
        <f t="shared" si="18"/>
        <v>50</v>
      </c>
      <c r="Q19" s="136"/>
      <c r="R19" s="124">
        <f t="shared" si="19"/>
        <v>0</v>
      </c>
      <c r="S19" s="70"/>
      <c r="T19" s="22"/>
      <c r="U19" s="13">
        <v>8</v>
      </c>
      <c r="V19" s="109" t="s">
        <v>119</v>
      </c>
      <c r="W19" s="107" t="s">
        <v>21</v>
      </c>
      <c r="X19" s="143" t="s">
        <v>120</v>
      </c>
      <c r="Y19" s="77">
        <v>9</v>
      </c>
      <c r="Z19" s="77">
        <v>12</v>
      </c>
      <c r="AA19" s="77" t="s">
        <v>23</v>
      </c>
      <c r="AB19" s="77" t="s">
        <v>23</v>
      </c>
      <c r="AC19" s="77">
        <v>15</v>
      </c>
      <c r="AD19" s="77" t="s">
        <v>23</v>
      </c>
      <c r="AE19" s="77" t="s">
        <v>23</v>
      </c>
      <c r="AF19" s="77">
        <v>18</v>
      </c>
      <c r="AG19" s="107">
        <f t="shared" si="1"/>
        <v>4</v>
      </c>
      <c r="AH19" s="107">
        <f t="shared" si="20"/>
        <v>8</v>
      </c>
      <c r="AI19" s="107">
        <f t="shared" si="21"/>
        <v>50</v>
      </c>
      <c r="AJ19" s="134">
        <f t="shared" si="22"/>
        <v>200</v>
      </c>
      <c r="AK19" s="135"/>
      <c r="AL19" s="124">
        <f t="shared" si="23"/>
        <v>5</v>
      </c>
      <c r="AM19" s="136"/>
      <c r="AN19" s="124">
        <f t="shared" si="2"/>
        <v>250</v>
      </c>
      <c r="AO19" s="136"/>
      <c r="AP19" s="124">
        <f t="shared" si="3"/>
        <v>5</v>
      </c>
      <c r="AQ19" s="70"/>
      <c r="AR19" s="22"/>
      <c r="AS19" s="13">
        <v>8</v>
      </c>
      <c r="AT19" s="109" t="s">
        <v>119</v>
      </c>
      <c r="AU19" s="107" t="s">
        <v>21</v>
      </c>
      <c r="AV19" s="141" t="s">
        <v>120</v>
      </c>
      <c r="AW19" s="77" t="s">
        <v>23</v>
      </c>
      <c r="AX19" s="77" t="s">
        <v>23</v>
      </c>
      <c r="AY19" s="77" t="s">
        <v>23</v>
      </c>
      <c r="AZ19" s="77">
        <v>21</v>
      </c>
      <c r="BA19" s="77">
        <v>24</v>
      </c>
      <c r="BB19" s="77" t="s">
        <v>23</v>
      </c>
      <c r="BC19" s="77">
        <v>27</v>
      </c>
      <c r="BD19" s="77" t="s">
        <v>23</v>
      </c>
      <c r="BE19" s="107">
        <f t="shared" si="4"/>
        <v>3</v>
      </c>
      <c r="BF19" s="107">
        <f t="shared" si="24"/>
        <v>6</v>
      </c>
      <c r="BG19" s="107">
        <f t="shared" si="48"/>
        <v>37.5</v>
      </c>
      <c r="BH19" s="134">
        <f t="shared" si="25"/>
        <v>150</v>
      </c>
      <c r="BI19" s="135"/>
      <c r="BJ19" s="124">
        <f t="shared" si="26"/>
        <v>0</v>
      </c>
      <c r="BK19" s="136"/>
      <c r="BL19" s="124">
        <f t="shared" si="5"/>
        <v>400</v>
      </c>
      <c r="BM19" s="136"/>
      <c r="BN19" s="124">
        <f t="shared" si="6"/>
        <v>5</v>
      </c>
      <c r="BO19" s="70"/>
      <c r="BP19" s="22"/>
      <c r="BQ19" s="13">
        <v>8</v>
      </c>
      <c r="BR19" s="109" t="s">
        <v>119</v>
      </c>
      <c r="BS19" s="107" t="s">
        <v>21</v>
      </c>
      <c r="BT19" s="141" t="s">
        <v>120</v>
      </c>
      <c r="BU19" s="16">
        <v>30</v>
      </c>
      <c r="BV19" s="16" t="s">
        <v>23</v>
      </c>
      <c r="BW19" s="16">
        <v>33</v>
      </c>
      <c r="BX19" s="16" t="s">
        <v>23</v>
      </c>
      <c r="BY19" s="13">
        <f t="shared" si="7"/>
        <v>2</v>
      </c>
      <c r="BZ19" s="13">
        <f t="shared" si="27"/>
        <v>4</v>
      </c>
      <c r="CA19" s="13">
        <f t="shared" si="28"/>
        <v>50</v>
      </c>
      <c r="CB19" s="21">
        <f t="shared" si="49"/>
        <v>100</v>
      </c>
      <c r="CC19" s="69"/>
      <c r="CD19" s="20">
        <f t="shared" si="29"/>
        <v>5</v>
      </c>
      <c r="CE19" s="70"/>
      <c r="CF19" s="20">
        <f t="shared" si="8"/>
        <v>400</v>
      </c>
      <c r="CG19" s="70"/>
      <c r="CH19" s="20"/>
      <c r="CI19" s="70"/>
      <c r="CJ19" s="22"/>
      <c r="CK19" s="13">
        <v>8</v>
      </c>
      <c r="CL19" s="109"/>
      <c r="CM19" s="107"/>
      <c r="CN19" s="109"/>
      <c r="CO19" s="77"/>
      <c r="CP19" s="77"/>
      <c r="CQ19" s="77"/>
      <c r="CR19" s="77"/>
      <c r="CS19" s="77"/>
      <c r="CT19" s="107"/>
      <c r="CU19" s="107"/>
      <c r="CV19" s="107"/>
      <c r="CW19" s="107">
        <f t="shared" si="9"/>
        <v>0</v>
      </c>
      <c r="CX19" s="107">
        <f t="shared" si="30"/>
        <v>0</v>
      </c>
      <c r="CY19" s="107">
        <f t="shared" si="31"/>
        <v>0</v>
      </c>
      <c r="CZ19" s="134">
        <f t="shared" si="32"/>
        <v>0</v>
      </c>
      <c r="DA19" s="135"/>
      <c r="DB19" s="124">
        <f t="shared" si="33"/>
        <v>0</v>
      </c>
      <c r="DC19" s="136"/>
      <c r="DD19" s="124">
        <f t="shared" si="34"/>
        <v>400</v>
      </c>
      <c r="DE19" s="136"/>
      <c r="DF19" s="124">
        <f t="shared" si="35"/>
        <v>0</v>
      </c>
      <c r="DG19" s="70"/>
      <c r="DH19" s="22"/>
      <c r="DI19" s="13">
        <v>8</v>
      </c>
      <c r="DJ19" s="109"/>
      <c r="DK19" s="107"/>
      <c r="DL19" s="109"/>
      <c r="DM19" s="77"/>
      <c r="DN19" s="77"/>
      <c r="DO19" s="77"/>
      <c r="DP19" s="77"/>
      <c r="DQ19" s="77"/>
      <c r="DR19" s="77"/>
      <c r="DS19" s="77"/>
      <c r="DT19" s="107"/>
      <c r="DU19" s="107">
        <f t="shared" si="10"/>
        <v>0</v>
      </c>
      <c r="DV19" s="107">
        <f t="shared" si="36"/>
        <v>0</v>
      </c>
      <c r="DW19" s="107">
        <f t="shared" si="37"/>
        <v>0</v>
      </c>
      <c r="DX19" s="134">
        <f t="shared" si="38"/>
        <v>0</v>
      </c>
      <c r="DY19" s="135"/>
      <c r="DZ19" s="124">
        <f t="shared" si="39"/>
        <v>0</v>
      </c>
      <c r="EA19" s="136"/>
      <c r="EB19" s="124">
        <f t="shared" si="40"/>
        <v>400</v>
      </c>
      <c r="EC19" s="136"/>
      <c r="ED19" s="124">
        <f t="shared" si="41"/>
        <v>0</v>
      </c>
      <c r="EE19" s="70"/>
      <c r="EF19" s="22"/>
      <c r="EG19" s="13">
        <v>8</v>
      </c>
      <c r="EH19" s="109" t="s">
        <v>74</v>
      </c>
      <c r="EI19" s="107" t="s">
        <v>274</v>
      </c>
      <c r="EJ19" s="109" t="s">
        <v>90</v>
      </c>
      <c r="EK19" s="77"/>
      <c r="EL19" s="77"/>
      <c r="EM19" s="77"/>
      <c r="EN19" s="77"/>
      <c r="EO19" s="77"/>
      <c r="EP19" s="77"/>
      <c r="EQ19" s="77"/>
      <c r="ER19" s="107"/>
      <c r="ES19" s="107"/>
      <c r="ET19" s="107"/>
      <c r="EU19" s="107"/>
      <c r="EV19" s="107"/>
      <c r="EW19" s="107"/>
      <c r="EX19" s="107"/>
      <c r="EY19" s="107"/>
      <c r="EZ19" s="107"/>
      <c r="FA19" s="107">
        <f t="shared" si="11"/>
        <v>0</v>
      </c>
      <c r="FB19" s="107">
        <f t="shared" si="42"/>
        <v>0</v>
      </c>
      <c r="FC19" s="107">
        <f t="shared" si="43"/>
        <v>0</v>
      </c>
      <c r="FD19" s="134">
        <f t="shared" si="44"/>
        <v>0</v>
      </c>
      <c r="FE19" s="135"/>
      <c r="FF19" s="124">
        <f t="shared" si="45"/>
        <v>0</v>
      </c>
      <c r="FG19" s="136"/>
      <c r="FH19" s="124">
        <f t="shared" si="12"/>
        <v>400</v>
      </c>
      <c r="FI19" s="136"/>
      <c r="FJ19" s="124">
        <f t="shared" si="13"/>
        <v>0</v>
      </c>
      <c r="FK19" s="136"/>
      <c r="FL19" s="137"/>
      <c r="FM19" s="138"/>
      <c r="FN19" s="107">
        <f t="shared" si="14"/>
        <v>0</v>
      </c>
      <c r="FO19" s="107">
        <f t="shared" si="46"/>
        <v>0</v>
      </c>
    </row>
    <row r="20" spans="1:171" ht="20.100000000000001" customHeight="1" x14ac:dyDescent="0.25">
      <c r="A20" s="13">
        <v>9</v>
      </c>
      <c r="B20" s="109" t="s">
        <v>121</v>
      </c>
      <c r="C20" s="107" t="s">
        <v>21</v>
      </c>
      <c r="D20" s="143" t="s">
        <v>122</v>
      </c>
      <c r="E20" s="77">
        <v>3</v>
      </c>
      <c r="F20" s="77">
        <v>6</v>
      </c>
      <c r="G20" s="77">
        <v>9</v>
      </c>
      <c r="H20" s="77">
        <v>12</v>
      </c>
      <c r="I20" s="107">
        <f t="shared" si="0"/>
        <v>4</v>
      </c>
      <c r="J20" s="107">
        <f t="shared" si="15"/>
        <v>8</v>
      </c>
      <c r="K20" s="107">
        <f t="shared" si="47"/>
        <v>100</v>
      </c>
      <c r="L20" s="134">
        <f t="shared" si="16"/>
        <v>200</v>
      </c>
      <c r="M20" s="135"/>
      <c r="N20" s="124">
        <f t="shared" si="17"/>
        <v>10</v>
      </c>
      <c r="O20" s="136"/>
      <c r="P20" s="124">
        <f t="shared" si="18"/>
        <v>200</v>
      </c>
      <c r="Q20" s="136"/>
      <c r="R20" s="124">
        <f t="shared" si="19"/>
        <v>10</v>
      </c>
      <c r="S20" s="70"/>
      <c r="T20" s="22"/>
      <c r="U20" s="13">
        <v>9</v>
      </c>
      <c r="V20" s="109" t="s">
        <v>121</v>
      </c>
      <c r="W20" s="107" t="s">
        <v>21</v>
      </c>
      <c r="X20" s="143" t="s">
        <v>122</v>
      </c>
      <c r="Y20" s="77">
        <v>9</v>
      </c>
      <c r="Z20" s="77">
        <v>12</v>
      </c>
      <c r="AA20" s="77">
        <v>15</v>
      </c>
      <c r="AB20" s="77">
        <v>18</v>
      </c>
      <c r="AC20" s="77">
        <v>21</v>
      </c>
      <c r="AD20" s="77">
        <v>24</v>
      </c>
      <c r="AE20" s="77">
        <v>27</v>
      </c>
      <c r="AF20" s="77">
        <v>30</v>
      </c>
      <c r="AG20" s="107">
        <f t="shared" si="1"/>
        <v>8</v>
      </c>
      <c r="AH20" s="107">
        <f t="shared" si="20"/>
        <v>16</v>
      </c>
      <c r="AI20" s="107">
        <f t="shared" si="21"/>
        <v>100</v>
      </c>
      <c r="AJ20" s="134">
        <f t="shared" si="22"/>
        <v>400</v>
      </c>
      <c r="AK20" s="135"/>
      <c r="AL20" s="124">
        <f t="shared" si="23"/>
        <v>10</v>
      </c>
      <c r="AM20" s="136"/>
      <c r="AN20" s="124">
        <f t="shared" si="2"/>
        <v>600</v>
      </c>
      <c r="AO20" s="136"/>
      <c r="AP20" s="124">
        <f t="shared" si="3"/>
        <v>20</v>
      </c>
      <c r="AQ20" s="70"/>
      <c r="AR20" s="22"/>
      <c r="AS20" s="13">
        <v>9</v>
      </c>
      <c r="AT20" s="109" t="s">
        <v>121</v>
      </c>
      <c r="AU20" s="107" t="s">
        <v>21</v>
      </c>
      <c r="AV20" s="141" t="s">
        <v>122</v>
      </c>
      <c r="AW20" s="77" t="s">
        <v>23</v>
      </c>
      <c r="AX20" s="77" t="s">
        <v>23</v>
      </c>
      <c r="AY20" s="77">
        <v>33</v>
      </c>
      <c r="AZ20" s="77">
        <v>36</v>
      </c>
      <c r="BA20" s="77">
        <v>39</v>
      </c>
      <c r="BB20" s="77">
        <v>42</v>
      </c>
      <c r="BC20" s="77">
        <v>45</v>
      </c>
      <c r="BD20" s="77">
        <v>48</v>
      </c>
      <c r="BE20" s="107">
        <f t="shared" si="4"/>
        <v>6</v>
      </c>
      <c r="BF20" s="107">
        <f t="shared" si="24"/>
        <v>12</v>
      </c>
      <c r="BG20" s="107">
        <f t="shared" si="48"/>
        <v>75</v>
      </c>
      <c r="BH20" s="134">
        <f t="shared" si="25"/>
        <v>300</v>
      </c>
      <c r="BI20" s="135"/>
      <c r="BJ20" s="124">
        <f t="shared" si="26"/>
        <v>10</v>
      </c>
      <c r="BK20" s="136"/>
      <c r="BL20" s="124">
        <f t="shared" si="5"/>
        <v>900</v>
      </c>
      <c r="BM20" s="136"/>
      <c r="BN20" s="124">
        <f t="shared" si="6"/>
        <v>30</v>
      </c>
      <c r="BO20" s="70"/>
      <c r="BP20" s="22"/>
      <c r="BQ20" s="13">
        <v>9</v>
      </c>
      <c r="BR20" s="109" t="s">
        <v>121</v>
      </c>
      <c r="BS20" s="107" t="s">
        <v>21</v>
      </c>
      <c r="BT20" s="141" t="s">
        <v>122</v>
      </c>
      <c r="BU20" s="16" t="s">
        <v>23</v>
      </c>
      <c r="BV20" s="16">
        <v>51</v>
      </c>
      <c r="BW20" s="16" t="s">
        <v>23</v>
      </c>
      <c r="BX20" s="16">
        <v>54</v>
      </c>
      <c r="BY20" s="13">
        <f t="shared" si="7"/>
        <v>2</v>
      </c>
      <c r="BZ20" s="13">
        <f t="shared" si="27"/>
        <v>4</v>
      </c>
      <c r="CA20" s="13">
        <f t="shared" si="28"/>
        <v>50</v>
      </c>
      <c r="CB20" s="21">
        <f t="shared" si="49"/>
        <v>100</v>
      </c>
      <c r="CC20" s="69"/>
      <c r="CD20" s="20">
        <f t="shared" si="29"/>
        <v>5</v>
      </c>
      <c r="CE20" s="70"/>
      <c r="CF20" s="20">
        <f t="shared" si="8"/>
        <v>900</v>
      </c>
      <c r="CG20" s="70"/>
      <c r="CH20" s="20"/>
      <c r="CI20" s="70"/>
      <c r="CJ20" s="22"/>
      <c r="CK20" s="13">
        <v>9</v>
      </c>
      <c r="CL20" s="109"/>
      <c r="CM20" s="107"/>
      <c r="CN20" s="109"/>
      <c r="CO20" s="77"/>
      <c r="CP20" s="77"/>
      <c r="CQ20" s="77"/>
      <c r="CR20" s="77"/>
      <c r="CS20" s="77"/>
      <c r="CT20" s="107"/>
      <c r="CU20" s="107"/>
      <c r="CV20" s="107"/>
      <c r="CW20" s="107">
        <f t="shared" si="9"/>
        <v>0</v>
      </c>
      <c r="CX20" s="107">
        <f t="shared" si="30"/>
        <v>0</v>
      </c>
      <c r="CY20" s="107">
        <f t="shared" si="31"/>
        <v>0</v>
      </c>
      <c r="CZ20" s="134">
        <f t="shared" si="32"/>
        <v>0</v>
      </c>
      <c r="DA20" s="135"/>
      <c r="DB20" s="124">
        <f t="shared" si="33"/>
        <v>0</v>
      </c>
      <c r="DC20" s="136"/>
      <c r="DD20" s="124">
        <f t="shared" si="34"/>
        <v>900</v>
      </c>
      <c r="DE20" s="136"/>
      <c r="DF20" s="124">
        <f t="shared" si="35"/>
        <v>0</v>
      </c>
      <c r="DG20" s="70"/>
      <c r="DH20" s="22"/>
      <c r="DI20" s="13">
        <v>9</v>
      </c>
      <c r="DJ20" s="109"/>
      <c r="DK20" s="107"/>
      <c r="DL20" s="109"/>
      <c r="DM20" s="77"/>
      <c r="DN20" s="77"/>
      <c r="DO20" s="77"/>
      <c r="DP20" s="77"/>
      <c r="DQ20" s="77"/>
      <c r="DR20" s="77"/>
      <c r="DS20" s="77"/>
      <c r="DT20" s="107"/>
      <c r="DU20" s="107">
        <f t="shared" si="10"/>
        <v>0</v>
      </c>
      <c r="DV20" s="107">
        <f t="shared" si="36"/>
        <v>0</v>
      </c>
      <c r="DW20" s="107">
        <f t="shared" si="37"/>
        <v>0</v>
      </c>
      <c r="DX20" s="134">
        <f t="shared" si="38"/>
        <v>0</v>
      </c>
      <c r="DY20" s="135"/>
      <c r="DZ20" s="124">
        <f t="shared" si="39"/>
        <v>0</v>
      </c>
      <c r="EA20" s="136"/>
      <c r="EB20" s="124">
        <f t="shared" si="40"/>
        <v>900</v>
      </c>
      <c r="EC20" s="136"/>
      <c r="ED20" s="124">
        <f t="shared" si="41"/>
        <v>0</v>
      </c>
      <c r="EE20" s="70"/>
      <c r="EF20" s="22"/>
      <c r="EG20" s="13">
        <v>9</v>
      </c>
      <c r="EH20" s="109" t="s">
        <v>75</v>
      </c>
      <c r="EI20" s="107" t="s">
        <v>262</v>
      </c>
      <c r="EJ20" s="109" t="s">
        <v>91</v>
      </c>
      <c r="EK20" s="77"/>
      <c r="EL20" s="77"/>
      <c r="EM20" s="77"/>
      <c r="EN20" s="77"/>
      <c r="EO20" s="77"/>
      <c r="EP20" s="77"/>
      <c r="EQ20" s="77"/>
      <c r="ER20" s="107"/>
      <c r="ES20" s="107"/>
      <c r="ET20" s="107"/>
      <c r="EU20" s="107"/>
      <c r="EV20" s="107"/>
      <c r="EW20" s="107"/>
      <c r="EX20" s="107"/>
      <c r="EY20" s="107"/>
      <c r="EZ20" s="107"/>
      <c r="FA20" s="107">
        <f t="shared" si="11"/>
        <v>0</v>
      </c>
      <c r="FB20" s="107">
        <f t="shared" si="42"/>
        <v>0</v>
      </c>
      <c r="FC20" s="107">
        <f t="shared" si="43"/>
        <v>0</v>
      </c>
      <c r="FD20" s="134">
        <f t="shared" si="44"/>
        <v>0</v>
      </c>
      <c r="FE20" s="135"/>
      <c r="FF20" s="124">
        <f t="shared" si="45"/>
        <v>0</v>
      </c>
      <c r="FG20" s="136"/>
      <c r="FH20" s="124">
        <f t="shared" si="12"/>
        <v>900</v>
      </c>
      <c r="FI20" s="136"/>
      <c r="FJ20" s="124">
        <f t="shared" si="13"/>
        <v>0</v>
      </c>
      <c r="FK20" s="136"/>
      <c r="FL20" s="137"/>
      <c r="FM20" s="138"/>
      <c r="FN20" s="107">
        <f t="shared" si="14"/>
        <v>0</v>
      </c>
      <c r="FO20" s="107">
        <f t="shared" si="46"/>
        <v>0</v>
      </c>
    </row>
    <row r="21" spans="1:171" ht="20.100000000000001" customHeight="1" x14ac:dyDescent="0.25">
      <c r="A21" s="13">
        <v>10</v>
      </c>
      <c r="B21" s="109" t="s">
        <v>123</v>
      </c>
      <c r="C21" s="107" t="s">
        <v>21</v>
      </c>
      <c r="D21" s="143" t="s">
        <v>124</v>
      </c>
      <c r="E21" s="77">
        <v>3</v>
      </c>
      <c r="F21" s="77">
        <v>6</v>
      </c>
      <c r="G21" s="77">
        <v>9</v>
      </c>
      <c r="H21" s="77">
        <v>12</v>
      </c>
      <c r="I21" s="107">
        <f t="shared" si="0"/>
        <v>4</v>
      </c>
      <c r="J21" s="107">
        <f t="shared" si="15"/>
        <v>8</v>
      </c>
      <c r="K21" s="107">
        <f t="shared" si="47"/>
        <v>100</v>
      </c>
      <c r="L21" s="134">
        <f t="shared" si="16"/>
        <v>200</v>
      </c>
      <c r="M21" s="135"/>
      <c r="N21" s="124">
        <f t="shared" si="17"/>
        <v>10</v>
      </c>
      <c r="O21" s="136"/>
      <c r="P21" s="124">
        <f t="shared" si="18"/>
        <v>200</v>
      </c>
      <c r="Q21" s="136"/>
      <c r="R21" s="124">
        <f t="shared" si="19"/>
        <v>10</v>
      </c>
      <c r="S21" s="70"/>
      <c r="T21" s="22"/>
      <c r="U21" s="13">
        <v>10</v>
      </c>
      <c r="V21" s="109" t="s">
        <v>123</v>
      </c>
      <c r="W21" s="107" t="s">
        <v>21</v>
      </c>
      <c r="X21" s="143" t="s">
        <v>124</v>
      </c>
      <c r="Y21" s="77">
        <v>15</v>
      </c>
      <c r="Z21" s="77" t="s">
        <v>23</v>
      </c>
      <c r="AA21" s="77" t="s">
        <v>23</v>
      </c>
      <c r="AB21" s="77" t="s">
        <v>23</v>
      </c>
      <c r="AC21" s="77" t="s">
        <v>23</v>
      </c>
      <c r="AD21" s="77" t="s">
        <v>23</v>
      </c>
      <c r="AE21" s="77" t="s">
        <v>23</v>
      </c>
      <c r="AF21" s="77">
        <v>18</v>
      </c>
      <c r="AG21" s="107">
        <f t="shared" si="1"/>
        <v>2</v>
      </c>
      <c r="AH21" s="107">
        <f t="shared" si="20"/>
        <v>4</v>
      </c>
      <c r="AI21" s="107">
        <f t="shared" si="21"/>
        <v>25</v>
      </c>
      <c r="AJ21" s="134">
        <f t="shared" si="22"/>
        <v>100</v>
      </c>
      <c r="AK21" s="135"/>
      <c r="AL21" s="124">
        <f t="shared" si="23"/>
        <v>0</v>
      </c>
      <c r="AM21" s="136"/>
      <c r="AN21" s="124">
        <f t="shared" si="2"/>
        <v>300</v>
      </c>
      <c r="AO21" s="136"/>
      <c r="AP21" s="124">
        <f t="shared" si="3"/>
        <v>10</v>
      </c>
      <c r="AQ21" s="70"/>
      <c r="AR21" s="22"/>
      <c r="AS21" s="13">
        <v>10</v>
      </c>
      <c r="AT21" s="109" t="s">
        <v>123</v>
      </c>
      <c r="AU21" s="107" t="s">
        <v>21</v>
      </c>
      <c r="AV21" s="141" t="s">
        <v>124</v>
      </c>
      <c r="AW21" s="77">
        <v>21</v>
      </c>
      <c r="AX21" s="77">
        <v>24</v>
      </c>
      <c r="AY21" s="77" t="s">
        <v>23</v>
      </c>
      <c r="AZ21" s="77" t="s">
        <v>23</v>
      </c>
      <c r="BA21" s="77">
        <v>27</v>
      </c>
      <c r="BB21" s="77">
        <v>30</v>
      </c>
      <c r="BC21" s="77" t="s">
        <v>23</v>
      </c>
      <c r="BD21" s="77">
        <v>33</v>
      </c>
      <c r="BE21" s="107">
        <f t="shared" si="4"/>
        <v>5</v>
      </c>
      <c r="BF21" s="107">
        <f t="shared" si="24"/>
        <v>10</v>
      </c>
      <c r="BG21" s="107">
        <f t="shared" si="48"/>
        <v>62.5</v>
      </c>
      <c r="BH21" s="134">
        <f t="shared" si="25"/>
        <v>250</v>
      </c>
      <c r="BI21" s="135"/>
      <c r="BJ21" s="124">
        <f t="shared" si="26"/>
        <v>10</v>
      </c>
      <c r="BK21" s="136"/>
      <c r="BL21" s="124">
        <f t="shared" si="5"/>
        <v>550</v>
      </c>
      <c r="BM21" s="136"/>
      <c r="BN21" s="124">
        <f t="shared" si="6"/>
        <v>20</v>
      </c>
      <c r="BO21" s="70"/>
      <c r="BP21" s="22"/>
      <c r="BQ21" s="13">
        <v>10</v>
      </c>
      <c r="BR21" s="109" t="s">
        <v>123</v>
      </c>
      <c r="BS21" s="107" t="s">
        <v>21</v>
      </c>
      <c r="BT21" s="141" t="s">
        <v>124</v>
      </c>
      <c r="BU21" s="16" t="s">
        <v>23</v>
      </c>
      <c r="BV21" s="16" t="s">
        <v>23</v>
      </c>
      <c r="BW21" s="16">
        <v>36</v>
      </c>
      <c r="BX21" s="16" t="s">
        <v>23</v>
      </c>
      <c r="BY21" s="13">
        <f t="shared" si="7"/>
        <v>1</v>
      </c>
      <c r="BZ21" s="13">
        <f t="shared" si="27"/>
        <v>2</v>
      </c>
      <c r="CA21" s="13">
        <f t="shared" si="28"/>
        <v>25</v>
      </c>
      <c r="CB21" s="21">
        <f t="shared" si="49"/>
        <v>50</v>
      </c>
      <c r="CC21" s="69"/>
      <c r="CD21" s="20">
        <f t="shared" si="29"/>
        <v>0</v>
      </c>
      <c r="CE21" s="70"/>
      <c r="CF21" s="20">
        <f t="shared" si="8"/>
        <v>550</v>
      </c>
      <c r="CG21" s="70"/>
      <c r="CH21" s="20"/>
      <c r="CI21" s="70"/>
      <c r="CJ21" s="22"/>
      <c r="CK21" s="13">
        <v>10</v>
      </c>
      <c r="CL21" s="109"/>
      <c r="CM21" s="107"/>
      <c r="CN21" s="109"/>
      <c r="CO21" s="77"/>
      <c r="CP21" s="77"/>
      <c r="CQ21" s="77"/>
      <c r="CR21" s="77"/>
      <c r="CS21" s="77"/>
      <c r="CT21" s="107"/>
      <c r="CU21" s="107"/>
      <c r="CV21" s="107"/>
      <c r="CW21" s="107">
        <f t="shared" si="9"/>
        <v>0</v>
      </c>
      <c r="CX21" s="107">
        <f t="shared" si="30"/>
        <v>0</v>
      </c>
      <c r="CY21" s="107">
        <f t="shared" si="31"/>
        <v>0</v>
      </c>
      <c r="CZ21" s="134">
        <f t="shared" si="32"/>
        <v>0</v>
      </c>
      <c r="DA21" s="135"/>
      <c r="DB21" s="124">
        <f t="shared" si="33"/>
        <v>0</v>
      </c>
      <c r="DC21" s="136"/>
      <c r="DD21" s="124">
        <f t="shared" si="34"/>
        <v>550</v>
      </c>
      <c r="DE21" s="136"/>
      <c r="DF21" s="124">
        <f t="shared" si="35"/>
        <v>0</v>
      </c>
      <c r="DG21" s="70"/>
      <c r="DH21" s="22"/>
      <c r="DI21" s="13">
        <v>10</v>
      </c>
      <c r="DJ21" s="109"/>
      <c r="DK21" s="107"/>
      <c r="DL21" s="109"/>
      <c r="DM21" s="77"/>
      <c r="DN21" s="77"/>
      <c r="DO21" s="77"/>
      <c r="DP21" s="77"/>
      <c r="DQ21" s="77"/>
      <c r="DR21" s="77"/>
      <c r="DS21" s="77"/>
      <c r="DT21" s="107"/>
      <c r="DU21" s="107">
        <f t="shared" si="10"/>
        <v>0</v>
      </c>
      <c r="DV21" s="107">
        <f t="shared" si="36"/>
        <v>0</v>
      </c>
      <c r="DW21" s="107">
        <f t="shared" si="37"/>
        <v>0</v>
      </c>
      <c r="DX21" s="134">
        <f t="shared" si="38"/>
        <v>0</v>
      </c>
      <c r="DY21" s="135"/>
      <c r="DZ21" s="124">
        <f t="shared" si="39"/>
        <v>0</v>
      </c>
      <c r="EA21" s="136"/>
      <c r="EB21" s="124">
        <f t="shared" si="40"/>
        <v>550</v>
      </c>
      <c r="EC21" s="136"/>
      <c r="ED21" s="124">
        <f t="shared" si="41"/>
        <v>0</v>
      </c>
      <c r="EE21" s="70"/>
      <c r="EF21" s="22"/>
      <c r="EG21" s="13">
        <v>10</v>
      </c>
      <c r="EH21" s="109" t="s">
        <v>76</v>
      </c>
      <c r="EI21" s="107" t="s">
        <v>21</v>
      </c>
      <c r="EJ21" s="109" t="s">
        <v>92</v>
      </c>
      <c r="EK21" s="77"/>
      <c r="EL21" s="77"/>
      <c r="EM21" s="77"/>
      <c r="EN21" s="77"/>
      <c r="EO21" s="77"/>
      <c r="EP21" s="77"/>
      <c r="EQ21" s="77"/>
      <c r="ER21" s="107"/>
      <c r="ES21" s="107"/>
      <c r="ET21" s="107"/>
      <c r="EU21" s="107"/>
      <c r="EV21" s="107"/>
      <c r="EW21" s="107"/>
      <c r="EX21" s="107"/>
      <c r="EY21" s="107"/>
      <c r="EZ21" s="107"/>
      <c r="FA21" s="107">
        <f t="shared" si="11"/>
        <v>0</v>
      </c>
      <c r="FB21" s="107">
        <f t="shared" si="42"/>
        <v>0</v>
      </c>
      <c r="FC21" s="107">
        <f t="shared" si="43"/>
        <v>0</v>
      </c>
      <c r="FD21" s="134">
        <f t="shared" si="44"/>
        <v>0</v>
      </c>
      <c r="FE21" s="135"/>
      <c r="FF21" s="124">
        <f t="shared" si="45"/>
        <v>0</v>
      </c>
      <c r="FG21" s="136"/>
      <c r="FH21" s="124">
        <f t="shared" si="12"/>
        <v>550</v>
      </c>
      <c r="FI21" s="136"/>
      <c r="FJ21" s="124">
        <f t="shared" si="13"/>
        <v>0</v>
      </c>
      <c r="FK21" s="136"/>
      <c r="FL21" s="137"/>
      <c r="FM21" s="138"/>
      <c r="FN21" s="107">
        <f t="shared" si="14"/>
        <v>0</v>
      </c>
      <c r="FO21" s="107">
        <f t="shared" si="46"/>
        <v>0</v>
      </c>
    </row>
    <row r="22" spans="1:171" ht="20.100000000000001" customHeight="1" x14ac:dyDescent="0.25">
      <c r="A22" s="13">
        <v>11</v>
      </c>
      <c r="B22" s="109" t="s">
        <v>125</v>
      </c>
      <c r="C22" s="107" t="s">
        <v>21</v>
      </c>
      <c r="D22" s="143" t="s">
        <v>126</v>
      </c>
      <c r="E22" s="77">
        <v>3</v>
      </c>
      <c r="F22" s="77" t="s">
        <v>23</v>
      </c>
      <c r="G22" s="77">
        <v>6</v>
      </c>
      <c r="H22" s="77" t="s">
        <v>23</v>
      </c>
      <c r="I22" s="107">
        <f t="shared" si="0"/>
        <v>2</v>
      </c>
      <c r="J22" s="107">
        <f t="shared" si="15"/>
        <v>4</v>
      </c>
      <c r="K22" s="107">
        <f t="shared" si="47"/>
        <v>50</v>
      </c>
      <c r="L22" s="134">
        <f t="shared" si="16"/>
        <v>100</v>
      </c>
      <c r="M22" s="135"/>
      <c r="N22" s="124">
        <f t="shared" si="17"/>
        <v>5</v>
      </c>
      <c r="O22" s="136"/>
      <c r="P22" s="124">
        <f t="shared" si="18"/>
        <v>100</v>
      </c>
      <c r="Q22" s="136"/>
      <c r="R22" s="124">
        <f t="shared" si="19"/>
        <v>5</v>
      </c>
      <c r="S22" s="70"/>
      <c r="T22" s="22"/>
      <c r="U22" s="13">
        <v>11</v>
      </c>
      <c r="V22" s="109" t="s">
        <v>125</v>
      </c>
      <c r="W22" s="107" t="s">
        <v>21</v>
      </c>
      <c r="X22" s="143" t="s">
        <v>126</v>
      </c>
      <c r="Y22" s="77" t="s">
        <v>23</v>
      </c>
      <c r="Z22" s="77" t="s">
        <v>23</v>
      </c>
      <c r="AA22" s="77">
        <v>15</v>
      </c>
      <c r="AB22" s="77">
        <v>18</v>
      </c>
      <c r="AC22" s="77">
        <v>21</v>
      </c>
      <c r="AD22" s="77">
        <v>24</v>
      </c>
      <c r="AE22" s="77">
        <v>27</v>
      </c>
      <c r="AF22" s="77">
        <v>30</v>
      </c>
      <c r="AG22" s="107">
        <f t="shared" si="1"/>
        <v>6</v>
      </c>
      <c r="AH22" s="107">
        <f t="shared" si="20"/>
        <v>12</v>
      </c>
      <c r="AI22" s="107">
        <f t="shared" si="21"/>
        <v>75</v>
      </c>
      <c r="AJ22" s="134">
        <f t="shared" si="22"/>
        <v>300</v>
      </c>
      <c r="AK22" s="135"/>
      <c r="AL22" s="124">
        <f t="shared" si="23"/>
        <v>10</v>
      </c>
      <c r="AM22" s="136"/>
      <c r="AN22" s="124">
        <f t="shared" si="2"/>
        <v>400</v>
      </c>
      <c r="AO22" s="136"/>
      <c r="AP22" s="124">
        <f t="shared" si="3"/>
        <v>15</v>
      </c>
      <c r="AQ22" s="70"/>
      <c r="AR22" s="22"/>
      <c r="AS22" s="13">
        <v>11</v>
      </c>
      <c r="AT22" s="109" t="s">
        <v>125</v>
      </c>
      <c r="AU22" s="107" t="s">
        <v>21</v>
      </c>
      <c r="AV22" s="141" t="s">
        <v>126</v>
      </c>
      <c r="AW22" s="77" t="s">
        <v>23</v>
      </c>
      <c r="AX22" s="77" t="s">
        <v>23</v>
      </c>
      <c r="AY22" s="77">
        <v>33</v>
      </c>
      <c r="AZ22" s="77">
        <v>36</v>
      </c>
      <c r="BA22" s="77">
        <v>39</v>
      </c>
      <c r="BB22" s="77">
        <v>42</v>
      </c>
      <c r="BC22" s="77">
        <v>45</v>
      </c>
      <c r="BD22" s="77" t="s">
        <v>23</v>
      </c>
      <c r="BE22" s="107">
        <f t="shared" si="4"/>
        <v>5</v>
      </c>
      <c r="BF22" s="107">
        <f t="shared" si="24"/>
        <v>10</v>
      </c>
      <c r="BG22" s="107">
        <f t="shared" si="48"/>
        <v>62.5</v>
      </c>
      <c r="BH22" s="134">
        <f t="shared" si="25"/>
        <v>250</v>
      </c>
      <c r="BI22" s="135"/>
      <c r="BJ22" s="124">
        <f t="shared" si="26"/>
        <v>10</v>
      </c>
      <c r="BK22" s="136"/>
      <c r="BL22" s="124">
        <f t="shared" si="5"/>
        <v>650</v>
      </c>
      <c r="BM22" s="136"/>
      <c r="BN22" s="124">
        <f t="shared" si="6"/>
        <v>25</v>
      </c>
      <c r="BO22" s="70"/>
      <c r="BP22" s="22"/>
      <c r="BQ22" s="13">
        <v>11</v>
      </c>
      <c r="BR22" s="109" t="s">
        <v>125</v>
      </c>
      <c r="BS22" s="107" t="s">
        <v>21</v>
      </c>
      <c r="BT22" s="141" t="s">
        <v>126</v>
      </c>
      <c r="BU22" s="16">
        <v>48</v>
      </c>
      <c r="BV22" s="16">
        <v>51</v>
      </c>
      <c r="BW22" s="16" t="s">
        <v>23</v>
      </c>
      <c r="BX22" s="16">
        <v>54</v>
      </c>
      <c r="BY22" s="13">
        <f t="shared" si="7"/>
        <v>3</v>
      </c>
      <c r="BZ22" s="13">
        <f t="shared" si="27"/>
        <v>6</v>
      </c>
      <c r="CA22" s="13">
        <f t="shared" si="28"/>
        <v>75</v>
      </c>
      <c r="CB22" s="21">
        <f t="shared" si="49"/>
        <v>150</v>
      </c>
      <c r="CC22" s="69"/>
      <c r="CD22" s="20">
        <f t="shared" si="29"/>
        <v>10</v>
      </c>
      <c r="CE22" s="70"/>
      <c r="CF22" s="20">
        <f t="shared" si="8"/>
        <v>650</v>
      </c>
      <c r="CG22" s="70"/>
      <c r="CH22" s="20"/>
      <c r="CI22" s="70"/>
      <c r="CJ22" s="22"/>
      <c r="CK22" s="13">
        <v>11</v>
      </c>
      <c r="CL22" s="109"/>
      <c r="CM22" s="107"/>
      <c r="CN22" s="109"/>
      <c r="CO22" s="77"/>
      <c r="CP22" s="77"/>
      <c r="CQ22" s="77"/>
      <c r="CR22" s="77"/>
      <c r="CS22" s="77"/>
      <c r="CT22" s="107"/>
      <c r="CU22" s="107"/>
      <c r="CV22" s="107"/>
      <c r="CW22" s="107">
        <f t="shared" si="9"/>
        <v>0</v>
      </c>
      <c r="CX22" s="107">
        <f t="shared" si="30"/>
        <v>0</v>
      </c>
      <c r="CY22" s="107">
        <f t="shared" si="31"/>
        <v>0</v>
      </c>
      <c r="CZ22" s="134">
        <f t="shared" si="32"/>
        <v>0</v>
      </c>
      <c r="DA22" s="135"/>
      <c r="DB22" s="124">
        <f t="shared" si="33"/>
        <v>0</v>
      </c>
      <c r="DC22" s="136"/>
      <c r="DD22" s="124">
        <f t="shared" si="34"/>
        <v>650</v>
      </c>
      <c r="DE22" s="136"/>
      <c r="DF22" s="124">
        <f t="shared" si="35"/>
        <v>0</v>
      </c>
      <c r="DG22" s="70"/>
      <c r="DH22" s="22"/>
      <c r="DI22" s="13">
        <v>11</v>
      </c>
      <c r="DJ22" s="109"/>
      <c r="DK22" s="107"/>
      <c r="DL22" s="109"/>
      <c r="DM22" s="77"/>
      <c r="DN22" s="77"/>
      <c r="DO22" s="77"/>
      <c r="DP22" s="77"/>
      <c r="DQ22" s="77"/>
      <c r="DR22" s="77"/>
      <c r="DS22" s="77"/>
      <c r="DT22" s="107"/>
      <c r="DU22" s="107">
        <f t="shared" si="10"/>
        <v>0</v>
      </c>
      <c r="DV22" s="107">
        <f t="shared" si="36"/>
        <v>0</v>
      </c>
      <c r="DW22" s="107">
        <f t="shared" si="37"/>
        <v>0</v>
      </c>
      <c r="DX22" s="134">
        <f t="shared" si="38"/>
        <v>0</v>
      </c>
      <c r="DY22" s="135"/>
      <c r="DZ22" s="124">
        <f t="shared" si="39"/>
        <v>0</v>
      </c>
      <c r="EA22" s="136"/>
      <c r="EB22" s="124">
        <f t="shared" si="40"/>
        <v>650</v>
      </c>
      <c r="EC22" s="136"/>
      <c r="ED22" s="124">
        <f t="shared" si="41"/>
        <v>0</v>
      </c>
      <c r="EE22" s="70"/>
      <c r="EF22" s="22"/>
      <c r="EG22" s="13">
        <v>11</v>
      </c>
      <c r="EH22" s="109" t="s">
        <v>77</v>
      </c>
      <c r="EI22" s="107" t="s">
        <v>21</v>
      </c>
      <c r="EJ22" s="109" t="s">
        <v>93</v>
      </c>
      <c r="EK22" s="77"/>
      <c r="EL22" s="77"/>
      <c r="EM22" s="77"/>
      <c r="EN22" s="77"/>
      <c r="EO22" s="77"/>
      <c r="EP22" s="77"/>
      <c r="EQ22" s="77"/>
      <c r="ER22" s="107"/>
      <c r="ES22" s="107"/>
      <c r="ET22" s="107"/>
      <c r="EU22" s="107"/>
      <c r="EV22" s="107"/>
      <c r="EW22" s="107"/>
      <c r="EX22" s="107"/>
      <c r="EY22" s="107"/>
      <c r="EZ22" s="107"/>
      <c r="FA22" s="107">
        <f t="shared" si="11"/>
        <v>0</v>
      </c>
      <c r="FB22" s="107">
        <f t="shared" si="42"/>
        <v>0</v>
      </c>
      <c r="FC22" s="107">
        <f t="shared" si="43"/>
        <v>0</v>
      </c>
      <c r="FD22" s="134">
        <f t="shared" si="44"/>
        <v>0</v>
      </c>
      <c r="FE22" s="135"/>
      <c r="FF22" s="124">
        <f t="shared" si="45"/>
        <v>0</v>
      </c>
      <c r="FG22" s="136"/>
      <c r="FH22" s="124">
        <f t="shared" si="12"/>
        <v>650</v>
      </c>
      <c r="FI22" s="136"/>
      <c r="FJ22" s="124">
        <f t="shared" si="13"/>
        <v>0</v>
      </c>
      <c r="FK22" s="136"/>
      <c r="FL22" s="137"/>
      <c r="FM22" s="138"/>
      <c r="FN22" s="107">
        <f t="shared" si="14"/>
        <v>0</v>
      </c>
      <c r="FO22" s="107">
        <f t="shared" si="46"/>
        <v>0</v>
      </c>
    </row>
    <row r="23" spans="1:171" ht="20.100000000000001" customHeight="1" x14ac:dyDescent="0.25">
      <c r="A23" s="13">
        <v>12</v>
      </c>
      <c r="B23" s="109" t="s">
        <v>127</v>
      </c>
      <c r="C23" s="107" t="s">
        <v>21</v>
      </c>
      <c r="D23" s="143" t="s">
        <v>128</v>
      </c>
      <c r="E23" s="77">
        <v>3</v>
      </c>
      <c r="F23" s="77" t="s">
        <v>23</v>
      </c>
      <c r="G23" s="77">
        <v>6</v>
      </c>
      <c r="H23" s="77">
        <v>9</v>
      </c>
      <c r="I23" s="107">
        <f t="shared" si="0"/>
        <v>3</v>
      </c>
      <c r="J23" s="107">
        <f t="shared" si="15"/>
        <v>6</v>
      </c>
      <c r="K23" s="107">
        <f t="shared" si="47"/>
        <v>75</v>
      </c>
      <c r="L23" s="134">
        <f t="shared" si="16"/>
        <v>150</v>
      </c>
      <c r="M23" s="135"/>
      <c r="N23" s="124">
        <f t="shared" si="17"/>
        <v>10</v>
      </c>
      <c r="O23" s="136"/>
      <c r="P23" s="124">
        <f t="shared" si="18"/>
        <v>150</v>
      </c>
      <c r="Q23" s="136"/>
      <c r="R23" s="124">
        <f t="shared" si="19"/>
        <v>10</v>
      </c>
      <c r="S23" s="70"/>
      <c r="T23" s="22"/>
      <c r="U23" s="13">
        <v>12</v>
      </c>
      <c r="V23" s="109" t="s">
        <v>127</v>
      </c>
      <c r="W23" s="107" t="s">
        <v>21</v>
      </c>
      <c r="X23" s="143" t="s">
        <v>128</v>
      </c>
      <c r="Y23" s="77" t="s">
        <v>23</v>
      </c>
      <c r="Z23" s="77">
        <v>6</v>
      </c>
      <c r="AA23" s="77" t="s">
        <v>23</v>
      </c>
      <c r="AB23" s="77" t="s">
        <v>23</v>
      </c>
      <c r="AC23" s="77">
        <v>9</v>
      </c>
      <c r="AD23" s="77" t="s">
        <v>23</v>
      </c>
      <c r="AE23" s="77" t="s">
        <v>23</v>
      </c>
      <c r="AF23" s="77" t="s">
        <v>23</v>
      </c>
      <c r="AG23" s="107">
        <f t="shared" si="1"/>
        <v>2</v>
      </c>
      <c r="AH23" s="107">
        <f t="shared" si="20"/>
        <v>4</v>
      </c>
      <c r="AI23" s="107">
        <f t="shared" si="21"/>
        <v>25</v>
      </c>
      <c r="AJ23" s="134">
        <f t="shared" si="22"/>
        <v>100</v>
      </c>
      <c r="AK23" s="135"/>
      <c r="AL23" s="124">
        <f t="shared" si="23"/>
        <v>0</v>
      </c>
      <c r="AM23" s="136"/>
      <c r="AN23" s="124">
        <f t="shared" si="2"/>
        <v>250</v>
      </c>
      <c r="AO23" s="136"/>
      <c r="AP23" s="124">
        <f t="shared" si="3"/>
        <v>10</v>
      </c>
      <c r="AQ23" s="70"/>
      <c r="AR23" s="22"/>
      <c r="AS23" s="13">
        <v>12</v>
      </c>
      <c r="AT23" s="109" t="s">
        <v>127</v>
      </c>
      <c r="AU23" s="107" t="s">
        <v>21</v>
      </c>
      <c r="AV23" s="141" t="s">
        <v>128</v>
      </c>
      <c r="AW23" s="77">
        <v>12</v>
      </c>
      <c r="AX23" s="77">
        <v>15</v>
      </c>
      <c r="AY23" s="77" t="s">
        <v>23</v>
      </c>
      <c r="AZ23" s="77">
        <v>18</v>
      </c>
      <c r="BA23" s="77" t="s">
        <v>23</v>
      </c>
      <c r="BB23" s="77" t="s">
        <v>23</v>
      </c>
      <c r="BC23" s="77">
        <v>21</v>
      </c>
      <c r="BD23" s="77">
        <v>24</v>
      </c>
      <c r="BE23" s="107">
        <f t="shared" si="4"/>
        <v>5</v>
      </c>
      <c r="BF23" s="107">
        <f t="shared" si="24"/>
        <v>10</v>
      </c>
      <c r="BG23" s="107">
        <f t="shared" si="48"/>
        <v>62.5</v>
      </c>
      <c r="BH23" s="134">
        <f t="shared" si="25"/>
        <v>250</v>
      </c>
      <c r="BI23" s="135"/>
      <c r="BJ23" s="124">
        <f t="shared" si="26"/>
        <v>10</v>
      </c>
      <c r="BK23" s="136"/>
      <c r="BL23" s="124">
        <f t="shared" si="5"/>
        <v>500</v>
      </c>
      <c r="BM23" s="136"/>
      <c r="BN23" s="124">
        <f t="shared" si="6"/>
        <v>20</v>
      </c>
      <c r="BO23" s="70"/>
      <c r="BP23" s="22"/>
      <c r="BQ23" s="13">
        <v>12</v>
      </c>
      <c r="BR23" s="109" t="s">
        <v>127</v>
      </c>
      <c r="BS23" s="107" t="s">
        <v>21</v>
      </c>
      <c r="BT23" s="141" t="s">
        <v>128</v>
      </c>
      <c r="BU23" s="16" t="s">
        <v>23</v>
      </c>
      <c r="BV23" s="16">
        <v>27</v>
      </c>
      <c r="BW23" s="16">
        <v>30</v>
      </c>
      <c r="BX23" s="16" t="s">
        <v>23</v>
      </c>
      <c r="BY23" s="13">
        <f t="shared" si="7"/>
        <v>2</v>
      </c>
      <c r="BZ23" s="13">
        <f t="shared" si="27"/>
        <v>4</v>
      </c>
      <c r="CA23" s="13">
        <f t="shared" si="28"/>
        <v>50</v>
      </c>
      <c r="CB23" s="21">
        <f t="shared" si="49"/>
        <v>100</v>
      </c>
      <c r="CC23" s="69"/>
      <c r="CD23" s="20">
        <f t="shared" si="29"/>
        <v>5</v>
      </c>
      <c r="CE23" s="70"/>
      <c r="CF23" s="20">
        <f t="shared" si="8"/>
        <v>500</v>
      </c>
      <c r="CG23" s="70"/>
      <c r="CH23" s="20"/>
      <c r="CI23" s="70"/>
      <c r="CJ23" s="22"/>
      <c r="CK23" s="13">
        <v>12</v>
      </c>
      <c r="CL23" s="109"/>
      <c r="CM23" s="107"/>
      <c r="CN23" s="109"/>
      <c r="CO23" s="77"/>
      <c r="CP23" s="77"/>
      <c r="CQ23" s="77"/>
      <c r="CR23" s="77"/>
      <c r="CS23" s="77"/>
      <c r="CT23" s="107"/>
      <c r="CU23" s="107"/>
      <c r="CV23" s="107"/>
      <c r="CW23" s="107">
        <f t="shared" si="9"/>
        <v>0</v>
      </c>
      <c r="CX23" s="107">
        <f t="shared" si="30"/>
        <v>0</v>
      </c>
      <c r="CY23" s="107">
        <f t="shared" si="31"/>
        <v>0</v>
      </c>
      <c r="CZ23" s="134">
        <f t="shared" si="32"/>
        <v>0</v>
      </c>
      <c r="DA23" s="135"/>
      <c r="DB23" s="124">
        <f t="shared" si="33"/>
        <v>0</v>
      </c>
      <c r="DC23" s="136"/>
      <c r="DD23" s="124">
        <f t="shared" si="34"/>
        <v>500</v>
      </c>
      <c r="DE23" s="136"/>
      <c r="DF23" s="124">
        <f t="shared" si="35"/>
        <v>0</v>
      </c>
      <c r="DG23" s="70"/>
      <c r="DH23" s="22"/>
      <c r="DI23" s="13">
        <v>12</v>
      </c>
      <c r="DJ23" s="109"/>
      <c r="DK23" s="107"/>
      <c r="DL23" s="109"/>
      <c r="DM23" s="77"/>
      <c r="DN23" s="77"/>
      <c r="DO23" s="77"/>
      <c r="DP23" s="77"/>
      <c r="DQ23" s="77"/>
      <c r="DR23" s="77"/>
      <c r="DS23" s="77"/>
      <c r="DT23" s="107"/>
      <c r="DU23" s="107">
        <f t="shared" si="10"/>
        <v>0</v>
      </c>
      <c r="DV23" s="107">
        <f t="shared" si="36"/>
        <v>0</v>
      </c>
      <c r="DW23" s="107">
        <f t="shared" si="37"/>
        <v>0</v>
      </c>
      <c r="DX23" s="134">
        <f t="shared" si="38"/>
        <v>0</v>
      </c>
      <c r="DY23" s="135"/>
      <c r="DZ23" s="124">
        <f t="shared" si="39"/>
        <v>0</v>
      </c>
      <c r="EA23" s="136"/>
      <c r="EB23" s="124">
        <f t="shared" si="40"/>
        <v>500</v>
      </c>
      <c r="EC23" s="136"/>
      <c r="ED23" s="124">
        <f t="shared" si="41"/>
        <v>0</v>
      </c>
      <c r="EE23" s="70"/>
      <c r="EF23" s="22"/>
      <c r="EG23" s="13">
        <v>12</v>
      </c>
      <c r="EH23" s="109" t="s">
        <v>78</v>
      </c>
      <c r="EI23" s="107" t="s">
        <v>21</v>
      </c>
      <c r="EJ23" s="109" t="s">
        <v>94</v>
      </c>
      <c r="EK23" s="77"/>
      <c r="EL23" s="77"/>
      <c r="EM23" s="77"/>
      <c r="EN23" s="77"/>
      <c r="EO23" s="77"/>
      <c r="EP23" s="77"/>
      <c r="EQ23" s="77"/>
      <c r="ER23" s="107"/>
      <c r="ES23" s="107"/>
      <c r="ET23" s="107"/>
      <c r="EU23" s="107"/>
      <c r="EV23" s="107"/>
      <c r="EW23" s="107"/>
      <c r="EX23" s="107"/>
      <c r="EY23" s="107"/>
      <c r="EZ23" s="107"/>
      <c r="FA23" s="107">
        <f t="shared" si="11"/>
        <v>0</v>
      </c>
      <c r="FB23" s="107">
        <f t="shared" si="42"/>
        <v>0</v>
      </c>
      <c r="FC23" s="107">
        <f t="shared" si="43"/>
        <v>0</v>
      </c>
      <c r="FD23" s="134">
        <f t="shared" si="44"/>
        <v>0</v>
      </c>
      <c r="FE23" s="135"/>
      <c r="FF23" s="124">
        <f t="shared" si="45"/>
        <v>0</v>
      </c>
      <c r="FG23" s="136"/>
      <c r="FH23" s="124">
        <f t="shared" si="12"/>
        <v>500</v>
      </c>
      <c r="FI23" s="136"/>
      <c r="FJ23" s="124">
        <f t="shared" si="13"/>
        <v>0</v>
      </c>
      <c r="FK23" s="136"/>
      <c r="FL23" s="137"/>
      <c r="FM23" s="138"/>
      <c r="FN23" s="107">
        <f t="shared" si="14"/>
        <v>0</v>
      </c>
      <c r="FO23" s="107">
        <f t="shared" si="46"/>
        <v>0</v>
      </c>
    </row>
    <row r="24" spans="1:171" ht="20.100000000000001" customHeight="1" x14ac:dyDescent="0.25">
      <c r="A24" s="13">
        <v>13</v>
      </c>
      <c r="B24" s="109" t="s">
        <v>129</v>
      </c>
      <c r="C24" s="107" t="s">
        <v>21</v>
      </c>
      <c r="D24" s="143" t="s">
        <v>130</v>
      </c>
      <c r="E24" s="77">
        <v>3</v>
      </c>
      <c r="F24" s="77">
        <v>6</v>
      </c>
      <c r="G24" s="77">
        <v>9</v>
      </c>
      <c r="H24" s="77">
        <v>12</v>
      </c>
      <c r="I24" s="107">
        <f t="shared" si="0"/>
        <v>4</v>
      </c>
      <c r="J24" s="107">
        <f t="shared" si="15"/>
        <v>8</v>
      </c>
      <c r="K24" s="107">
        <f t="shared" si="47"/>
        <v>100</v>
      </c>
      <c r="L24" s="134">
        <f t="shared" si="16"/>
        <v>200</v>
      </c>
      <c r="M24" s="135"/>
      <c r="N24" s="124">
        <f t="shared" si="17"/>
        <v>10</v>
      </c>
      <c r="O24" s="136"/>
      <c r="P24" s="124">
        <f t="shared" si="18"/>
        <v>200</v>
      </c>
      <c r="Q24" s="136"/>
      <c r="R24" s="124">
        <f t="shared" si="19"/>
        <v>10</v>
      </c>
      <c r="S24" s="70"/>
      <c r="T24" s="22"/>
      <c r="U24" s="13">
        <v>13</v>
      </c>
      <c r="V24" s="109" t="s">
        <v>129</v>
      </c>
      <c r="W24" s="107" t="s">
        <v>21</v>
      </c>
      <c r="X24" s="143" t="s">
        <v>130</v>
      </c>
      <c r="Y24" s="77">
        <v>12</v>
      </c>
      <c r="Z24" s="77">
        <v>15</v>
      </c>
      <c r="AA24" s="77">
        <v>18</v>
      </c>
      <c r="AB24" s="77">
        <v>21</v>
      </c>
      <c r="AC24" s="77" t="s">
        <v>23</v>
      </c>
      <c r="AD24" s="77">
        <v>24</v>
      </c>
      <c r="AE24" s="77">
        <v>27</v>
      </c>
      <c r="AF24" s="77">
        <v>30</v>
      </c>
      <c r="AG24" s="107">
        <f t="shared" si="1"/>
        <v>7</v>
      </c>
      <c r="AH24" s="107">
        <f t="shared" si="20"/>
        <v>14</v>
      </c>
      <c r="AI24" s="107">
        <f t="shared" si="21"/>
        <v>87.5</v>
      </c>
      <c r="AJ24" s="134">
        <f t="shared" si="22"/>
        <v>350</v>
      </c>
      <c r="AK24" s="135"/>
      <c r="AL24" s="124">
        <f t="shared" si="23"/>
        <v>10</v>
      </c>
      <c r="AM24" s="136"/>
      <c r="AN24" s="124">
        <f t="shared" si="2"/>
        <v>550</v>
      </c>
      <c r="AO24" s="136"/>
      <c r="AP24" s="124">
        <f t="shared" si="3"/>
        <v>20</v>
      </c>
      <c r="AQ24" s="70"/>
      <c r="AR24" s="22"/>
      <c r="AS24" s="13">
        <v>13</v>
      </c>
      <c r="AT24" s="109" t="s">
        <v>129</v>
      </c>
      <c r="AU24" s="107" t="s">
        <v>21</v>
      </c>
      <c r="AV24" s="141" t="s">
        <v>130</v>
      </c>
      <c r="AW24" s="77">
        <v>33</v>
      </c>
      <c r="AX24" s="77">
        <v>36</v>
      </c>
      <c r="AY24" s="77">
        <v>39</v>
      </c>
      <c r="AZ24" s="77" t="s">
        <v>23</v>
      </c>
      <c r="BA24" s="77">
        <v>42</v>
      </c>
      <c r="BB24" s="77">
        <v>45</v>
      </c>
      <c r="BC24" s="77">
        <v>48</v>
      </c>
      <c r="BD24" s="77" t="s">
        <v>23</v>
      </c>
      <c r="BE24" s="107">
        <f t="shared" si="4"/>
        <v>6</v>
      </c>
      <c r="BF24" s="107">
        <f t="shared" si="24"/>
        <v>12</v>
      </c>
      <c r="BG24" s="107">
        <f t="shared" si="48"/>
        <v>75</v>
      </c>
      <c r="BH24" s="134">
        <f t="shared" si="25"/>
        <v>300</v>
      </c>
      <c r="BI24" s="135"/>
      <c r="BJ24" s="124">
        <f t="shared" si="26"/>
        <v>10</v>
      </c>
      <c r="BK24" s="136"/>
      <c r="BL24" s="124">
        <f t="shared" si="5"/>
        <v>850</v>
      </c>
      <c r="BM24" s="136"/>
      <c r="BN24" s="124">
        <f t="shared" si="6"/>
        <v>30</v>
      </c>
      <c r="BO24" s="70"/>
      <c r="BP24" s="22"/>
      <c r="BQ24" s="13">
        <v>13</v>
      </c>
      <c r="BR24" s="109" t="s">
        <v>129</v>
      </c>
      <c r="BS24" s="107" t="s">
        <v>21</v>
      </c>
      <c r="BT24" s="141" t="s">
        <v>130</v>
      </c>
      <c r="BU24" s="16">
        <v>51</v>
      </c>
      <c r="BV24" s="16">
        <v>54</v>
      </c>
      <c r="BW24" s="16" t="s">
        <v>23</v>
      </c>
      <c r="BX24" s="16">
        <v>57</v>
      </c>
      <c r="BY24" s="13">
        <f t="shared" si="7"/>
        <v>3</v>
      </c>
      <c r="BZ24" s="13">
        <f t="shared" si="27"/>
        <v>6</v>
      </c>
      <c r="CA24" s="13">
        <f t="shared" si="28"/>
        <v>75</v>
      </c>
      <c r="CB24" s="21">
        <f t="shared" si="49"/>
        <v>150</v>
      </c>
      <c r="CC24" s="69"/>
      <c r="CD24" s="20">
        <f t="shared" si="29"/>
        <v>10</v>
      </c>
      <c r="CE24" s="70"/>
      <c r="CF24" s="20">
        <f t="shared" si="8"/>
        <v>850</v>
      </c>
      <c r="CG24" s="70"/>
      <c r="CH24" s="20"/>
      <c r="CI24" s="70"/>
      <c r="CJ24" s="22"/>
      <c r="CK24" s="13">
        <v>13</v>
      </c>
      <c r="CL24" s="109"/>
      <c r="CM24" s="107"/>
      <c r="CN24" s="109"/>
      <c r="CO24" s="77"/>
      <c r="CP24" s="77"/>
      <c r="CQ24" s="77"/>
      <c r="CR24" s="77"/>
      <c r="CS24" s="77"/>
      <c r="CT24" s="107"/>
      <c r="CU24" s="107"/>
      <c r="CV24" s="107"/>
      <c r="CW24" s="107">
        <f t="shared" si="9"/>
        <v>0</v>
      </c>
      <c r="CX24" s="107">
        <f t="shared" si="30"/>
        <v>0</v>
      </c>
      <c r="CY24" s="107">
        <f t="shared" si="31"/>
        <v>0</v>
      </c>
      <c r="CZ24" s="134">
        <f t="shared" si="32"/>
        <v>0</v>
      </c>
      <c r="DA24" s="135"/>
      <c r="DB24" s="124">
        <f t="shared" si="33"/>
        <v>0</v>
      </c>
      <c r="DC24" s="136"/>
      <c r="DD24" s="124">
        <f t="shared" si="34"/>
        <v>850</v>
      </c>
      <c r="DE24" s="136"/>
      <c r="DF24" s="124">
        <f t="shared" si="35"/>
        <v>0</v>
      </c>
      <c r="DG24" s="70"/>
      <c r="DH24" s="22"/>
      <c r="DI24" s="13">
        <v>13</v>
      </c>
      <c r="DJ24" s="109"/>
      <c r="DK24" s="107"/>
      <c r="DL24" s="109"/>
      <c r="DM24" s="77"/>
      <c r="DN24" s="77"/>
      <c r="DO24" s="77"/>
      <c r="DP24" s="77"/>
      <c r="DQ24" s="77"/>
      <c r="DR24" s="77"/>
      <c r="DS24" s="77"/>
      <c r="DT24" s="107"/>
      <c r="DU24" s="107">
        <f t="shared" si="10"/>
        <v>0</v>
      </c>
      <c r="DV24" s="107">
        <f t="shared" si="36"/>
        <v>0</v>
      </c>
      <c r="DW24" s="107">
        <f t="shared" si="37"/>
        <v>0</v>
      </c>
      <c r="DX24" s="134">
        <f t="shared" si="38"/>
        <v>0</v>
      </c>
      <c r="DY24" s="135"/>
      <c r="DZ24" s="124">
        <f t="shared" si="39"/>
        <v>0</v>
      </c>
      <c r="EA24" s="136"/>
      <c r="EB24" s="124">
        <f t="shared" si="40"/>
        <v>850</v>
      </c>
      <c r="EC24" s="136"/>
      <c r="ED24" s="124">
        <f t="shared" si="41"/>
        <v>0</v>
      </c>
      <c r="EE24" s="70"/>
      <c r="EF24" s="22"/>
      <c r="EG24" s="13">
        <v>13</v>
      </c>
      <c r="EH24" s="109" t="s">
        <v>79</v>
      </c>
      <c r="EI24" s="107" t="s">
        <v>21</v>
      </c>
      <c r="EJ24" s="109" t="s">
        <v>95</v>
      </c>
      <c r="EK24" s="77"/>
      <c r="EL24" s="77"/>
      <c r="EM24" s="77"/>
      <c r="EN24" s="77"/>
      <c r="EO24" s="77"/>
      <c r="EP24" s="77"/>
      <c r="EQ24" s="77"/>
      <c r="ER24" s="107"/>
      <c r="ES24" s="107"/>
      <c r="ET24" s="107"/>
      <c r="EU24" s="107"/>
      <c r="EV24" s="107"/>
      <c r="EW24" s="107"/>
      <c r="EX24" s="107"/>
      <c r="EY24" s="107"/>
      <c r="EZ24" s="107"/>
      <c r="FA24" s="107">
        <f t="shared" si="11"/>
        <v>0</v>
      </c>
      <c r="FB24" s="107">
        <f t="shared" si="42"/>
        <v>0</v>
      </c>
      <c r="FC24" s="107">
        <f t="shared" si="43"/>
        <v>0</v>
      </c>
      <c r="FD24" s="134">
        <f t="shared" si="44"/>
        <v>0</v>
      </c>
      <c r="FE24" s="135"/>
      <c r="FF24" s="124">
        <f t="shared" si="45"/>
        <v>0</v>
      </c>
      <c r="FG24" s="136"/>
      <c r="FH24" s="124">
        <f t="shared" si="12"/>
        <v>850</v>
      </c>
      <c r="FI24" s="136"/>
      <c r="FJ24" s="124">
        <f t="shared" si="13"/>
        <v>0</v>
      </c>
      <c r="FK24" s="136"/>
      <c r="FL24" s="137"/>
      <c r="FM24" s="138"/>
      <c r="FN24" s="107">
        <f t="shared" si="14"/>
        <v>0</v>
      </c>
      <c r="FO24" s="107">
        <f t="shared" si="46"/>
        <v>0</v>
      </c>
    </row>
    <row r="25" spans="1:171" ht="20.100000000000001" customHeight="1" x14ac:dyDescent="0.25">
      <c r="A25" s="13">
        <v>14</v>
      </c>
      <c r="B25" s="109" t="s">
        <v>131</v>
      </c>
      <c r="C25" s="107" t="s">
        <v>21</v>
      </c>
      <c r="D25" s="143" t="s">
        <v>132</v>
      </c>
      <c r="E25" s="77">
        <v>3</v>
      </c>
      <c r="F25" s="77">
        <v>6</v>
      </c>
      <c r="G25" s="77">
        <v>9</v>
      </c>
      <c r="H25" s="77">
        <v>12</v>
      </c>
      <c r="I25" s="107">
        <f t="shared" si="0"/>
        <v>4</v>
      </c>
      <c r="J25" s="107">
        <f t="shared" si="15"/>
        <v>8</v>
      </c>
      <c r="K25" s="107">
        <f t="shared" si="47"/>
        <v>100</v>
      </c>
      <c r="L25" s="134">
        <f t="shared" si="16"/>
        <v>200</v>
      </c>
      <c r="M25" s="135"/>
      <c r="N25" s="124">
        <f t="shared" si="17"/>
        <v>10</v>
      </c>
      <c r="O25" s="136"/>
      <c r="P25" s="124">
        <f t="shared" si="18"/>
        <v>200</v>
      </c>
      <c r="Q25" s="136"/>
      <c r="R25" s="124">
        <f t="shared" si="19"/>
        <v>10</v>
      </c>
      <c r="S25" s="70"/>
      <c r="T25" s="22"/>
      <c r="U25" s="13">
        <v>14</v>
      </c>
      <c r="V25" s="109" t="s">
        <v>131</v>
      </c>
      <c r="W25" s="107" t="s">
        <v>21</v>
      </c>
      <c r="X25" s="143" t="s">
        <v>132</v>
      </c>
      <c r="Y25" s="77" t="s">
        <v>23</v>
      </c>
      <c r="Z25" s="77">
        <v>15</v>
      </c>
      <c r="AA25" s="77">
        <v>18</v>
      </c>
      <c r="AB25" s="77">
        <v>21</v>
      </c>
      <c r="AC25" s="77">
        <v>24</v>
      </c>
      <c r="AD25" s="77" t="s">
        <v>23</v>
      </c>
      <c r="AE25" s="77">
        <v>27</v>
      </c>
      <c r="AF25" s="77">
        <v>30</v>
      </c>
      <c r="AG25" s="107">
        <f t="shared" si="1"/>
        <v>6</v>
      </c>
      <c r="AH25" s="107">
        <f t="shared" si="20"/>
        <v>12</v>
      </c>
      <c r="AI25" s="107">
        <f t="shared" si="21"/>
        <v>75</v>
      </c>
      <c r="AJ25" s="134">
        <f t="shared" si="22"/>
        <v>300</v>
      </c>
      <c r="AK25" s="135"/>
      <c r="AL25" s="124">
        <f t="shared" si="23"/>
        <v>10</v>
      </c>
      <c r="AM25" s="136"/>
      <c r="AN25" s="124">
        <f t="shared" si="2"/>
        <v>500</v>
      </c>
      <c r="AO25" s="136"/>
      <c r="AP25" s="124">
        <f t="shared" si="3"/>
        <v>20</v>
      </c>
      <c r="AQ25" s="70"/>
      <c r="AR25" s="22"/>
      <c r="AS25" s="13">
        <v>14</v>
      </c>
      <c r="AT25" s="109" t="s">
        <v>131</v>
      </c>
      <c r="AU25" s="107" t="s">
        <v>21</v>
      </c>
      <c r="AV25" s="141" t="s">
        <v>132</v>
      </c>
      <c r="AW25" s="77">
        <v>33</v>
      </c>
      <c r="AX25" s="77">
        <v>36</v>
      </c>
      <c r="AY25" s="77">
        <v>39</v>
      </c>
      <c r="AZ25" s="77">
        <v>42</v>
      </c>
      <c r="BA25" s="77" t="s">
        <v>23</v>
      </c>
      <c r="BB25" s="77">
        <v>45</v>
      </c>
      <c r="BC25" s="77">
        <v>48</v>
      </c>
      <c r="BD25" s="77">
        <v>51</v>
      </c>
      <c r="BE25" s="107">
        <f t="shared" si="4"/>
        <v>7</v>
      </c>
      <c r="BF25" s="107">
        <f t="shared" si="24"/>
        <v>14</v>
      </c>
      <c r="BG25" s="107">
        <f t="shared" si="48"/>
        <v>87.5</v>
      </c>
      <c r="BH25" s="134">
        <f t="shared" si="25"/>
        <v>350</v>
      </c>
      <c r="BI25" s="135"/>
      <c r="BJ25" s="124">
        <f t="shared" si="26"/>
        <v>10</v>
      </c>
      <c r="BK25" s="136"/>
      <c r="BL25" s="124">
        <f t="shared" si="5"/>
        <v>850</v>
      </c>
      <c r="BM25" s="136"/>
      <c r="BN25" s="124">
        <f t="shared" si="6"/>
        <v>30</v>
      </c>
      <c r="BO25" s="70"/>
      <c r="BP25" s="22"/>
      <c r="BQ25" s="13">
        <v>14</v>
      </c>
      <c r="BR25" s="109" t="s">
        <v>131</v>
      </c>
      <c r="BS25" s="107" t="s">
        <v>21</v>
      </c>
      <c r="BT25" s="141" t="s">
        <v>132</v>
      </c>
      <c r="BU25" s="16">
        <v>54</v>
      </c>
      <c r="BV25" s="16" t="s">
        <v>23</v>
      </c>
      <c r="BW25" s="16">
        <v>57</v>
      </c>
      <c r="BX25" s="16">
        <v>60</v>
      </c>
      <c r="BY25" s="13">
        <f t="shared" si="7"/>
        <v>3</v>
      </c>
      <c r="BZ25" s="13">
        <f t="shared" si="27"/>
        <v>6</v>
      </c>
      <c r="CA25" s="13">
        <f t="shared" si="28"/>
        <v>75</v>
      </c>
      <c r="CB25" s="21">
        <f t="shared" si="49"/>
        <v>150</v>
      </c>
      <c r="CC25" s="69"/>
      <c r="CD25" s="20">
        <f t="shared" si="29"/>
        <v>10</v>
      </c>
      <c r="CE25" s="70"/>
      <c r="CF25" s="20">
        <f t="shared" si="8"/>
        <v>850</v>
      </c>
      <c r="CG25" s="70"/>
      <c r="CH25" s="20"/>
      <c r="CI25" s="70"/>
      <c r="CJ25" s="22"/>
      <c r="CK25" s="13">
        <v>14</v>
      </c>
      <c r="CL25" s="109"/>
      <c r="CM25" s="107"/>
      <c r="CN25" s="109"/>
      <c r="CO25" s="77"/>
      <c r="CP25" s="77"/>
      <c r="CQ25" s="77"/>
      <c r="CR25" s="77"/>
      <c r="CS25" s="107"/>
      <c r="CT25" s="107"/>
      <c r="CU25" s="107"/>
      <c r="CV25" s="107"/>
      <c r="CW25" s="107">
        <f t="shared" si="9"/>
        <v>0</v>
      </c>
      <c r="CX25" s="107">
        <f t="shared" si="30"/>
        <v>0</v>
      </c>
      <c r="CY25" s="107">
        <f t="shared" si="31"/>
        <v>0</v>
      </c>
      <c r="CZ25" s="134">
        <f t="shared" si="32"/>
        <v>0</v>
      </c>
      <c r="DA25" s="135"/>
      <c r="DB25" s="124">
        <f t="shared" si="33"/>
        <v>0</v>
      </c>
      <c r="DC25" s="136"/>
      <c r="DD25" s="124">
        <f t="shared" si="34"/>
        <v>850</v>
      </c>
      <c r="DE25" s="136"/>
      <c r="DF25" s="124">
        <f t="shared" si="35"/>
        <v>0</v>
      </c>
      <c r="DG25" s="70"/>
      <c r="DH25" s="22"/>
      <c r="DI25" s="13">
        <v>14</v>
      </c>
      <c r="DJ25" s="109"/>
      <c r="DK25" s="107"/>
      <c r="DL25" s="109"/>
      <c r="DM25" s="77"/>
      <c r="DN25" s="77"/>
      <c r="DO25" s="77"/>
      <c r="DP25" s="77"/>
      <c r="DQ25" s="77"/>
      <c r="DR25" s="77"/>
      <c r="DS25" s="77"/>
      <c r="DT25" s="107"/>
      <c r="DU25" s="107">
        <f t="shared" si="10"/>
        <v>0</v>
      </c>
      <c r="DV25" s="107">
        <f t="shared" si="36"/>
        <v>0</v>
      </c>
      <c r="DW25" s="107">
        <f t="shared" si="37"/>
        <v>0</v>
      </c>
      <c r="DX25" s="134">
        <f t="shared" si="38"/>
        <v>0</v>
      </c>
      <c r="DY25" s="135"/>
      <c r="DZ25" s="124">
        <f t="shared" si="39"/>
        <v>0</v>
      </c>
      <c r="EA25" s="136"/>
      <c r="EB25" s="124">
        <f t="shared" si="40"/>
        <v>850</v>
      </c>
      <c r="EC25" s="136"/>
      <c r="ED25" s="124">
        <f t="shared" si="41"/>
        <v>0</v>
      </c>
      <c r="EE25" s="70"/>
      <c r="EF25" s="22"/>
      <c r="EG25" s="13">
        <v>14</v>
      </c>
      <c r="EH25" s="109" t="s">
        <v>80</v>
      </c>
      <c r="EI25" s="107" t="s">
        <v>21</v>
      </c>
      <c r="EJ25" s="109" t="s">
        <v>96</v>
      </c>
      <c r="EK25" s="77"/>
      <c r="EL25" s="77"/>
      <c r="EM25" s="77"/>
      <c r="EN25" s="77"/>
      <c r="EO25" s="77"/>
      <c r="EP25" s="77"/>
      <c r="EQ25" s="77"/>
      <c r="ER25" s="107"/>
      <c r="ES25" s="107"/>
      <c r="ET25" s="107"/>
      <c r="EU25" s="107"/>
      <c r="EV25" s="107"/>
      <c r="EW25" s="107"/>
      <c r="EX25" s="107"/>
      <c r="EY25" s="107"/>
      <c r="EZ25" s="107"/>
      <c r="FA25" s="107">
        <f t="shared" si="11"/>
        <v>0</v>
      </c>
      <c r="FB25" s="107">
        <f t="shared" si="42"/>
        <v>0</v>
      </c>
      <c r="FC25" s="107">
        <f t="shared" si="43"/>
        <v>0</v>
      </c>
      <c r="FD25" s="134">
        <f t="shared" si="44"/>
        <v>0</v>
      </c>
      <c r="FE25" s="135"/>
      <c r="FF25" s="124">
        <f t="shared" si="45"/>
        <v>0</v>
      </c>
      <c r="FG25" s="136"/>
      <c r="FH25" s="124">
        <f t="shared" si="12"/>
        <v>850</v>
      </c>
      <c r="FI25" s="136"/>
      <c r="FJ25" s="124">
        <f t="shared" si="13"/>
        <v>0</v>
      </c>
      <c r="FK25" s="136"/>
      <c r="FL25" s="137"/>
      <c r="FM25" s="138"/>
      <c r="FN25" s="107">
        <f>EM25/3</f>
        <v>0</v>
      </c>
      <c r="FO25" s="107">
        <f t="shared" si="46"/>
        <v>0</v>
      </c>
    </row>
    <row r="26" spans="1:171" ht="20.100000000000001" customHeight="1" x14ac:dyDescent="0.25">
      <c r="A26" s="13">
        <v>15</v>
      </c>
      <c r="B26" s="109" t="s">
        <v>272</v>
      </c>
      <c r="C26" s="107" t="s">
        <v>21</v>
      </c>
      <c r="D26" s="143" t="s">
        <v>134</v>
      </c>
      <c r="E26" s="77">
        <v>3</v>
      </c>
      <c r="F26" s="77">
        <v>6</v>
      </c>
      <c r="G26" s="77">
        <v>9</v>
      </c>
      <c r="H26" s="77">
        <v>12</v>
      </c>
      <c r="I26" s="107">
        <f t="shared" si="0"/>
        <v>4</v>
      </c>
      <c r="J26" s="107">
        <f t="shared" si="15"/>
        <v>8</v>
      </c>
      <c r="K26" s="107">
        <f t="shared" si="47"/>
        <v>100</v>
      </c>
      <c r="L26" s="134">
        <f t="shared" si="16"/>
        <v>200</v>
      </c>
      <c r="M26" s="135"/>
      <c r="N26" s="124">
        <f t="shared" si="17"/>
        <v>10</v>
      </c>
      <c r="O26" s="136"/>
      <c r="P26" s="124">
        <f t="shared" si="18"/>
        <v>200</v>
      </c>
      <c r="Q26" s="136"/>
      <c r="R26" s="124">
        <f t="shared" si="19"/>
        <v>10</v>
      </c>
      <c r="S26" s="70"/>
      <c r="T26" s="22"/>
      <c r="U26" s="13">
        <v>15</v>
      </c>
      <c r="V26" s="109" t="s">
        <v>272</v>
      </c>
      <c r="W26" s="107" t="s">
        <v>21</v>
      </c>
      <c r="X26" s="143" t="s">
        <v>134</v>
      </c>
      <c r="Y26" s="77">
        <v>9</v>
      </c>
      <c r="Z26" s="77">
        <v>12</v>
      </c>
      <c r="AA26" s="77">
        <v>15</v>
      </c>
      <c r="AB26" s="77">
        <v>18</v>
      </c>
      <c r="AC26" s="77" t="s">
        <v>23</v>
      </c>
      <c r="AD26" s="77">
        <v>21</v>
      </c>
      <c r="AE26" s="77">
        <v>24</v>
      </c>
      <c r="AF26" s="77">
        <v>27</v>
      </c>
      <c r="AG26" s="107">
        <f t="shared" si="1"/>
        <v>7</v>
      </c>
      <c r="AH26" s="107">
        <f t="shared" si="20"/>
        <v>14</v>
      </c>
      <c r="AI26" s="107">
        <f t="shared" si="21"/>
        <v>87.5</v>
      </c>
      <c r="AJ26" s="134">
        <f t="shared" si="22"/>
        <v>350</v>
      </c>
      <c r="AK26" s="135"/>
      <c r="AL26" s="124">
        <f t="shared" si="23"/>
        <v>10</v>
      </c>
      <c r="AM26" s="136"/>
      <c r="AN26" s="124">
        <f t="shared" si="2"/>
        <v>550</v>
      </c>
      <c r="AO26" s="136"/>
      <c r="AP26" s="124">
        <f t="shared" si="3"/>
        <v>20</v>
      </c>
      <c r="AQ26" s="70"/>
      <c r="AR26" s="22"/>
      <c r="AS26" s="13">
        <v>15</v>
      </c>
      <c r="AT26" s="109" t="s">
        <v>272</v>
      </c>
      <c r="AU26" s="107" t="s">
        <v>21</v>
      </c>
      <c r="AV26" s="141" t="s">
        <v>134</v>
      </c>
      <c r="AW26" s="77">
        <v>30</v>
      </c>
      <c r="AX26" s="77">
        <v>33</v>
      </c>
      <c r="AY26" s="77" t="s">
        <v>23</v>
      </c>
      <c r="AZ26" s="77">
        <v>36</v>
      </c>
      <c r="BA26" s="77">
        <v>39</v>
      </c>
      <c r="BB26" s="77" t="s">
        <v>23</v>
      </c>
      <c r="BC26" s="77">
        <v>42</v>
      </c>
      <c r="BD26" s="77">
        <v>45</v>
      </c>
      <c r="BE26" s="107">
        <f t="shared" si="4"/>
        <v>6</v>
      </c>
      <c r="BF26" s="107">
        <f t="shared" si="24"/>
        <v>12</v>
      </c>
      <c r="BG26" s="107">
        <f t="shared" si="48"/>
        <v>75</v>
      </c>
      <c r="BH26" s="134">
        <f t="shared" si="25"/>
        <v>300</v>
      </c>
      <c r="BI26" s="135"/>
      <c r="BJ26" s="124">
        <f t="shared" si="26"/>
        <v>10</v>
      </c>
      <c r="BK26" s="136"/>
      <c r="BL26" s="124">
        <f t="shared" si="5"/>
        <v>850</v>
      </c>
      <c r="BM26" s="136"/>
      <c r="BN26" s="124">
        <f t="shared" si="6"/>
        <v>30</v>
      </c>
      <c r="BO26" s="70"/>
      <c r="BP26" s="22"/>
      <c r="BQ26" s="13">
        <v>15</v>
      </c>
      <c r="BR26" s="109" t="s">
        <v>272</v>
      </c>
      <c r="BS26" s="107" t="s">
        <v>21</v>
      </c>
      <c r="BT26" s="141" t="s">
        <v>134</v>
      </c>
      <c r="BU26" s="16">
        <v>48</v>
      </c>
      <c r="BV26" s="16" t="s">
        <v>23</v>
      </c>
      <c r="BW26" s="16">
        <v>51</v>
      </c>
      <c r="BX26" s="16">
        <v>54</v>
      </c>
      <c r="BY26" s="13">
        <f t="shared" si="7"/>
        <v>3</v>
      </c>
      <c r="BZ26" s="13">
        <f t="shared" si="27"/>
        <v>6</v>
      </c>
      <c r="CA26" s="13">
        <f t="shared" si="28"/>
        <v>75</v>
      </c>
      <c r="CB26" s="21">
        <f t="shared" si="49"/>
        <v>150</v>
      </c>
      <c r="CC26" s="69"/>
      <c r="CD26" s="20">
        <f t="shared" si="29"/>
        <v>10</v>
      </c>
      <c r="CE26" s="70"/>
      <c r="CF26" s="20">
        <f t="shared" si="8"/>
        <v>850</v>
      </c>
      <c r="CG26" s="70"/>
      <c r="CH26" s="20"/>
      <c r="CI26" s="70"/>
      <c r="CJ26" s="22"/>
      <c r="CK26" s="13">
        <v>15</v>
      </c>
      <c r="CL26" s="109"/>
      <c r="CM26" s="107"/>
      <c r="CN26" s="109"/>
      <c r="CO26" s="77"/>
      <c r="CP26" s="77"/>
      <c r="CQ26" s="77"/>
      <c r="CR26" s="77"/>
      <c r="CS26" s="107"/>
      <c r="CT26" s="107"/>
      <c r="CU26" s="107"/>
      <c r="CV26" s="107"/>
      <c r="CW26" s="107">
        <f t="shared" si="9"/>
        <v>0</v>
      </c>
      <c r="CX26" s="107">
        <f t="shared" si="30"/>
        <v>0</v>
      </c>
      <c r="CY26" s="107">
        <f t="shared" si="31"/>
        <v>0</v>
      </c>
      <c r="CZ26" s="134">
        <f t="shared" si="32"/>
        <v>0</v>
      </c>
      <c r="DA26" s="135"/>
      <c r="DB26" s="124">
        <f t="shared" si="33"/>
        <v>0</v>
      </c>
      <c r="DC26" s="136"/>
      <c r="DD26" s="124">
        <f t="shared" si="34"/>
        <v>850</v>
      </c>
      <c r="DE26" s="136"/>
      <c r="DF26" s="124">
        <f t="shared" si="35"/>
        <v>0</v>
      </c>
      <c r="DG26" s="70"/>
      <c r="DH26" s="22"/>
      <c r="DI26" s="13">
        <v>15</v>
      </c>
      <c r="DJ26" s="109"/>
      <c r="DK26" s="107"/>
      <c r="DL26" s="109"/>
      <c r="DM26" s="77"/>
      <c r="DN26" s="77"/>
      <c r="DO26" s="77"/>
      <c r="DP26" s="77"/>
      <c r="DQ26" s="77"/>
      <c r="DR26" s="77"/>
      <c r="DS26" s="77"/>
      <c r="DT26" s="107"/>
      <c r="DU26" s="107">
        <f t="shared" si="10"/>
        <v>0</v>
      </c>
      <c r="DV26" s="107">
        <f t="shared" si="36"/>
        <v>0</v>
      </c>
      <c r="DW26" s="107">
        <f t="shared" si="37"/>
        <v>0</v>
      </c>
      <c r="DX26" s="134">
        <f t="shared" si="38"/>
        <v>0</v>
      </c>
      <c r="DY26" s="135"/>
      <c r="DZ26" s="124">
        <f t="shared" si="39"/>
        <v>0</v>
      </c>
      <c r="EA26" s="136"/>
      <c r="EB26" s="124">
        <f t="shared" si="40"/>
        <v>850</v>
      </c>
      <c r="EC26" s="136"/>
      <c r="ED26" s="124">
        <f t="shared" si="41"/>
        <v>0</v>
      </c>
      <c r="EE26" s="70"/>
      <c r="EF26" s="22"/>
      <c r="EG26" s="13">
        <v>15</v>
      </c>
      <c r="EH26" s="109" t="s">
        <v>81</v>
      </c>
      <c r="EI26" s="107" t="s">
        <v>21</v>
      </c>
      <c r="EJ26" s="109" t="s">
        <v>97</v>
      </c>
      <c r="EK26" s="77"/>
      <c r="EL26" s="77"/>
      <c r="EM26" s="77"/>
      <c r="EN26" s="77"/>
      <c r="EO26" s="77"/>
      <c r="EP26" s="77"/>
      <c r="EQ26" s="77"/>
      <c r="ER26" s="107"/>
      <c r="ES26" s="107"/>
      <c r="ET26" s="107"/>
      <c r="EU26" s="107"/>
      <c r="EV26" s="107"/>
      <c r="EW26" s="107"/>
      <c r="EX26" s="107"/>
      <c r="EY26" s="107"/>
      <c r="EZ26" s="107"/>
      <c r="FA26" s="107">
        <f t="shared" si="11"/>
        <v>0</v>
      </c>
      <c r="FB26" s="107">
        <f t="shared" si="42"/>
        <v>0</v>
      </c>
      <c r="FC26" s="107">
        <f t="shared" si="43"/>
        <v>0</v>
      </c>
      <c r="FD26" s="134">
        <f t="shared" si="44"/>
        <v>0</v>
      </c>
      <c r="FE26" s="135"/>
      <c r="FF26" s="124">
        <f t="shared" si="45"/>
        <v>0</v>
      </c>
      <c r="FG26" s="136"/>
      <c r="FH26" s="124">
        <f t="shared" si="12"/>
        <v>850</v>
      </c>
      <c r="FI26" s="136"/>
      <c r="FJ26" s="124">
        <f t="shared" si="13"/>
        <v>0</v>
      </c>
      <c r="FK26" s="136"/>
      <c r="FL26" s="137"/>
      <c r="FM26" s="138"/>
      <c r="FN26" s="107">
        <f t="shared" ref="FN26:FN33" si="50">EN26/3</f>
        <v>0</v>
      </c>
      <c r="FO26" s="107">
        <f t="shared" si="46"/>
        <v>0</v>
      </c>
    </row>
    <row r="27" spans="1:171" ht="20.100000000000001" customHeight="1" x14ac:dyDescent="0.25">
      <c r="A27" s="13">
        <v>16</v>
      </c>
      <c r="B27" s="109" t="s">
        <v>133</v>
      </c>
      <c r="C27" s="107" t="s">
        <v>21</v>
      </c>
      <c r="D27" s="143" t="s">
        <v>136</v>
      </c>
      <c r="E27" s="77">
        <v>3</v>
      </c>
      <c r="F27" s="77">
        <v>6</v>
      </c>
      <c r="G27" s="77">
        <v>9</v>
      </c>
      <c r="H27" s="77">
        <v>12</v>
      </c>
      <c r="I27" s="107">
        <f t="shared" si="0"/>
        <v>4</v>
      </c>
      <c r="J27" s="107">
        <f t="shared" si="15"/>
        <v>8</v>
      </c>
      <c r="K27" s="107">
        <f t="shared" si="47"/>
        <v>100</v>
      </c>
      <c r="L27" s="134">
        <f t="shared" si="16"/>
        <v>200</v>
      </c>
      <c r="M27" s="135"/>
      <c r="N27" s="124">
        <f t="shared" si="17"/>
        <v>10</v>
      </c>
      <c r="O27" s="136"/>
      <c r="P27" s="124">
        <f t="shared" si="18"/>
        <v>200</v>
      </c>
      <c r="Q27" s="136"/>
      <c r="R27" s="124">
        <f t="shared" si="19"/>
        <v>10</v>
      </c>
      <c r="S27" s="70"/>
      <c r="T27" s="22"/>
      <c r="U27" s="13">
        <v>16</v>
      </c>
      <c r="V27" s="109" t="s">
        <v>133</v>
      </c>
      <c r="W27" s="107" t="s">
        <v>21</v>
      </c>
      <c r="X27" s="143" t="s">
        <v>136</v>
      </c>
      <c r="Y27" s="77">
        <v>15</v>
      </c>
      <c r="Z27" s="77">
        <v>18</v>
      </c>
      <c r="AA27" s="77">
        <v>21</v>
      </c>
      <c r="AB27" s="77" t="s">
        <v>23</v>
      </c>
      <c r="AC27" s="77">
        <v>24</v>
      </c>
      <c r="AD27" s="77" t="s">
        <v>23</v>
      </c>
      <c r="AE27" s="77">
        <v>27</v>
      </c>
      <c r="AF27" s="77">
        <v>30</v>
      </c>
      <c r="AG27" s="107">
        <f t="shared" si="1"/>
        <v>6</v>
      </c>
      <c r="AH27" s="107">
        <f t="shared" si="20"/>
        <v>12</v>
      </c>
      <c r="AI27" s="107">
        <f t="shared" si="21"/>
        <v>75</v>
      </c>
      <c r="AJ27" s="134">
        <f t="shared" si="22"/>
        <v>300</v>
      </c>
      <c r="AK27" s="135"/>
      <c r="AL27" s="124">
        <f t="shared" si="23"/>
        <v>10</v>
      </c>
      <c r="AM27" s="136"/>
      <c r="AN27" s="124">
        <f t="shared" si="2"/>
        <v>500</v>
      </c>
      <c r="AO27" s="136"/>
      <c r="AP27" s="124">
        <f t="shared" si="3"/>
        <v>20</v>
      </c>
      <c r="AQ27" s="70"/>
      <c r="AR27" s="22"/>
      <c r="AS27" s="13">
        <v>16</v>
      </c>
      <c r="AT27" s="109" t="s">
        <v>133</v>
      </c>
      <c r="AU27" s="107" t="s">
        <v>21</v>
      </c>
      <c r="AV27" s="141" t="s">
        <v>136</v>
      </c>
      <c r="AW27" s="77">
        <v>30</v>
      </c>
      <c r="AX27" s="77">
        <v>33</v>
      </c>
      <c r="AY27" s="77">
        <v>36</v>
      </c>
      <c r="AZ27" s="77">
        <v>39</v>
      </c>
      <c r="BA27" s="77" t="s">
        <v>23</v>
      </c>
      <c r="BB27" s="77">
        <v>42</v>
      </c>
      <c r="BC27" s="77" t="s">
        <v>23</v>
      </c>
      <c r="BD27" s="77">
        <v>45</v>
      </c>
      <c r="BE27" s="107">
        <f t="shared" si="4"/>
        <v>6</v>
      </c>
      <c r="BF27" s="107">
        <f t="shared" si="24"/>
        <v>12</v>
      </c>
      <c r="BG27" s="107">
        <f t="shared" si="48"/>
        <v>75</v>
      </c>
      <c r="BH27" s="134">
        <f t="shared" si="25"/>
        <v>300</v>
      </c>
      <c r="BI27" s="135"/>
      <c r="BJ27" s="124">
        <f t="shared" si="26"/>
        <v>10</v>
      </c>
      <c r="BK27" s="136"/>
      <c r="BL27" s="124">
        <f t="shared" si="5"/>
        <v>800</v>
      </c>
      <c r="BM27" s="136"/>
      <c r="BN27" s="124">
        <f t="shared" si="6"/>
        <v>30</v>
      </c>
      <c r="BO27" s="70"/>
      <c r="BP27" s="22"/>
      <c r="BQ27" s="13">
        <v>16</v>
      </c>
      <c r="BR27" s="109" t="s">
        <v>133</v>
      </c>
      <c r="BS27" s="107" t="s">
        <v>21</v>
      </c>
      <c r="BT27" s="141" t="s">
        <v>136</v>
      </c>
      <c r="BU27" s="16">
        <v>48</v>
      </c>
      <c r="BV27" s="16">
        <v>51</v>
      </c>
      <c r="BW27" s="16">
        <v>54</v>
      </c>
      <c r="BX27" s="16" t="s">
        <v>23</v>
      </c>
      <c r="BY27" s="13">
        <f t="shared" si="7"/>
        <v>3</v>
      </c>
      <c r="BZ27" s="13">
        <f t="shared" si="27"/>
        <v>6</v>
      </c>
      <c r="CA27" s="13">
        <f t="shared" si="28"/>
        <v>75</v>
      </c>
      <c r="CB27" s="21">
        <f t="shared" si="49"/>
        <v>150</v>
      </c>
      <c r="CC27" s="69"/>
      <c r="CD27" s="20">
        <f t="shared" si="29"/>
        <v>10</v>
      </c>
      <c r="CE27" s="70"/>
      <c r="CF27" s="20">
        <f t="shared" si="8"/>
        <v>800</v>
      </c>
      <c r="CG27" s="70"/>
      <c r="CH27" s="20"/>
      <c r="CI27" s="70"/>
      <c r="CJ27" s="22"/>
      <c r="CK27" s="13">
        <v>16</v>
      </c>
      <c r="CL27" s="109"/>
      <c r="CM27" s="107"/>
      <c r="CN27" s="109"/>
      <c r="CO27" s="77"/>
      <c r="CP27" s="77"/>
      <c r="CQ27" s="77"/>
      <c r="CR27" s="77"/>
      <c r="CS27" s="77"/>
      <c r="CT27" s="107"/>
      <c r="CU27" s="107"/>
      <c r="CV27" s="107"/>
      <c r="CW27" s="107">
        <f t="shared" si="9"/>
        <v>0</v>
      </c>
      <c r="CX27" s="107">
        <f t="shared" si="30"/>
        <v>0</v>
      </c>
      <c r="CY27" s="107">
        <f t="shared" si="31"/>
        <v>0</v>
      </c>
      <c r="CZ27" s="134">
        <f t="shared" si="32"/>
        <v>0</v>
      </c>
      <c r="DA27" s="135"/>
      <c r="DB27" s="124">
        <f t="shared" si="33"/>
        <v>0</v>
      </c>
      <c r="DC27" s="136"/>
      <c r="DD27" s="124">
        <f t="shared" si="34"/>
        <v>800</v>
      </c>
      <c r="DE27" s="136"/>
      <c r="DF27" s="124">
        <f t="shared" si="35"/>
        <v>0</v>
      </c>
      <c r="DG27" s="70"/>
      <c r="DH27" s="22"/>
      <c r="DI27" s="13">
        <v>16</v>
      </c>
      <c r="DJ27" s="109"/>
      <c r="DK27" s="107"/>
      <c r="DL27" s="109"/>
      <c r="DM27" s="77"/>
      <c r="DN27" s="77"/>
      <c r="DO27" s="77"/>
      <c r="DP27" s="77"/>
      <c r="DQ27" s="77"/>
      <c r="DR27" s="77"/>
      <c r="DS27" s="77"/>
      <c r="DT27" s="107"/>
      <c r="DU27" s="107">
        <f t="shared" si="10"/>
        <v>0</v>
      </c>
      <c r="DV27" s="107">
        <f t="shared" si="36"/>
        <v>0</v>
      </c>
      <c r="DW27" s="107">
        <f t="shared" si="37"/>
        <v>0</v>
      </c>
      <c r="DX27" s="134">
        <f t="shared" si="38"/>
        <v>0</v>
      </c>
      <c r="DY27" s="135"/>
      <c r="DZ27" s="124">
        <f t="shared" si="39"/>
        <v>0</v>
      </c>
      <c r="EA27" s="136"/>
      <c r="EB27" s="124">
        <f t="shared" si="40"/>
        <v>800</v>
      </c>
      <c r="EC27" s="136"/>
      <c r="ED27" s="124">
        <f t="shared" si="41"/>
        <v>0</v>
      </c>
      <c r="EE27" s="70"/>
      <c r="EF27" s="22"/>
      <c r="EG27" s="13">
        <v>16</v>
      </c>
      <c r="EH27" s="109" t="s">
        <v>82</v>
      </c>
      <c r="EI27" s="107" t="s">
        <v>263</v>
      </c>
      <c r="EJ27" s="109" t="s">
        <v>98</v>
      </c>
      <c r="EK27" s="77"/>
      <c r="EL27" s="77"/>
      <c r="EM27" s="77"/>
      <c r="EN27" s="77"/>
      <c r="EO27" s="77"/>
      <c r="EP27" s="77"/>
      <c r="EQ27" s="77"/>
      <c r="ER27" s="107"/>
      <c r="ES27" s="107"/>
      <c r="ET27" s="107"/>
      <c r="EU27" s="107"/>
      <c r="EV27" s="107"/>
      <c r="EW27" s="107"/>
      <c r="EX27" s="107"/>
      <c r="EY27" s="107"/>
      <c r="EZ27" s="107"/>
      <c r="FA27" s="107">
        <f t="shared" si="11"/>
        <v>0</v>
      </c>
      <c r="FB27" s="107">
        <f t="shared" si="42"/>
        <v>0</v>
      </c>
      <c r="FC27" s="107">
        <f t="shared" si="43"/>
        <v>0</v>
      </c>
      <c r="FD27" s="134">
        <f t="shared" si="44"/>
        <v>0</v>
      </c>
      <c r="FE27" s="135"/>
      <c r="FF27" s="124">
        <f t="shared" si="45"/>
        <v>0</v>
      </c>
      <c r="FG27" s="136"/>
      <c r="FH27" s="124">
        <f t="shared" si="12"/>
        <v>800</v>
      </c>
      <c r="FI27" s="136"/>
      <c r="FJ27" s="124">
        <f t="shared" si="13"/>
        <v>0</v>
      </c>
      <c r="FK27" s="136"/>
      <c r="FL27" s="137"/>
      <c r="FM27" s="138"/>
      <c r="FN27" s="107">
        <f t="shared" si="50"/>
        <v>0</v>
      </c>
      <c r="FO27" s="107">
        <f t="shared" si="46"/>
        <v>0</v>
      </c>
    </row>
    <row r="28" spans="1:171" ht="20.100000000000001" customHeight="1" x14ac:dyDescent="0.25">
      <c r="A28" s="13">
        <v>17</v>
      </c>
      <c r="B28" s="109" t="s">
        <v>135</v>
      </c>
      <c r="C28" s="107" t="s">
        <v>21</v>
      </c>
      <c r="D28" s="143" t="s">
        <v>138</v>
      </c>
      <c r="E28" s="77" t="s">
        <v>23</v>
      </c>
      <c r="F28" s="77" t="s">
        <v>23</v>
      </c>
      <c r="G28" s="77" t="s">
        <v>23</v>
      </c>
      <c r="H28" s="77" t="s">
        <v>23</v>
      </c>
      <c r="I28" s="107">
        <f t="shared" si="0"/>
        <v>0</v>
      </c>
      <c r="J28" s="107">
        <f t="shared" si="15"/>
        <v>0</v>
      </c>
      <c r="K28" s="107">
        <f t="shared" si="47"/>
        <v>0</v>
      </c>
      <c r="L28" s="134">
        <f t="shared" si="16"/>
        <v>0</v>
      </c>
      <c r="M28" s="135"/>
      <c r="N28" s="124">
        <f t="shared" si="17"/>
        <v>0</v>
      </c>
      <c r="O28" s="136"/>
      <c r="P28" s="124">
        <f t="shared" si="18"/>
        <v>0</v>
      </c>
      <c r="Q28" s="136"/>
      <c r="R28" s="124">
        <f t="shared" si="19"/>
        <v>0</v>
      </c>
      <c r="S28" s="70"/>
      <c r="T28" s="22"/>
      <c r="U28" s="13">
        <v>17</v>
      </c>
      <c r="V28" s="109" t="s">
        <v>135</v>
      </c>
      <c r="W28" s="107" t="s">
        <v>21</v>
      </c>
      <c r="X28" s="143" t="s">
        <v>138</v>
      </c>
      <c r="Y28" s="77">
        <v>3</v>
      </c>
      <c r="Z28" s="77">
        <v>6</v>
      </c>
      <c r="AA28" s="77">
        <v>9</v>
      </c>
      <c r="AB28" s="77">
        <v>12</v>
      </c>
      <c r="AC28" s="77">
        <v>15</v>
      </c>
      <c r="AD28" s="77">
        <v>18</v>
      </c>
      <c r="AE28" s="77">
        <v>21</v>
      </c>
      <c r="AF28" s="77" t="s">
        <v>23</v>
      </c>
      <c r="AG28" s="107">
        <f t="shared" si="1"/>
        <v>7</v>
      </c>
      <c r="AH28" s="107">
        <f t="shared" si="20"/>
        <v>14</v>
      </c>
      <c r="AI28" s="107">
        <f t="shared" si="21"/>
        <v>87.5</v>
      </c>
      <c r="AJ28" s="134">
        <f t="shared" si="22"/>
        <v>350</v>
      </c>
      <c r="AK28" s="135"/>
      <c r="AL28" s="124">
        <f t="shared" si="23"/>
        <v>10</v>
      </c>
      <c r="AM28" s="136"/>
      <c r="AN28" s="124">
        <f t="shared" si="2"/>
        <v>350</v>
      </c>
      <c r="AO28" s="136"/>
      <c r="AP28" s="124">
        <f t="shared" si="3"/>
        <v>10</v>
      </c>
      <c r="AQ28" s="70"/>
      <c r="AR28" s="22"/>
      <c r="AS28" s="13">
        <v>17</v>
      </c>
      <c r="AT28" s="109" t="s">
        <v>135</v>
      </c>
      <c r="AU28" s="107" t="s">
        <v>21</v>
      </c>
      <c r="AV28" s="141" t="s">
        <v>138</v>
      </c>
      <c r="AW28" s="77" t="s">
        <v>23</v>
      </c>
      <c r="AX28" s="77" t="s">
        <v>23</v>
      </c>
      <c r="AY28" s="77">
        <v>24</v>
      </c>
      <c r="AZ28" s="77">
        <v>27</v>
      </c>
      <c r="BA28" s="77">
        <v>30</v>
      </c>
      <c r="BB28" s="77">
        <v>33</v>
      </c>
      <c r="BC28" s="77">
        <v>36</v>
      </c>
      <c r="BD28" s="77">
        <v>39</v>
      </c>
      <c r="BE28" s="107">
        <f t="shared" si="4"/>
        <v>6</v>
      </c>
      <c r="BF28" s="107">
        <f t="shared" si="24"/>
        <v>12</v>
      </c>
      <c r="BG28" s="107">
        <f t="shared" si="48"/>
        <v>75</v>
      </c>
      <c r="BH28" s="134">
        <f t="shared" si="25"/>
        <v>300</v>
      </c>
      <c r="BI28" s="135"/>
      <c r="BJ28" s="124">
        <f t="shared" si="26"/>
        <v>10</v>
      </c>
      <c r="BK28" s="136"/>
      <c r="BL28" s="124">
        <f t="shared" si="5"/>
        <v>650</v>
      </c>
      <c r="BM28" s="136"/>
      <c r="BN28" s="124">
        <f t="shared" si="6"/>
        <v>20</v>
      </c>
      <c r="BO28" s="70"/>
      <c r="BP28" s="22"/>
      <c r="BQ28" s="13">
        <v>17</v>
      </c>
      <c r="BR28" s="109" t="s">
        <v>135</v>
      </c>
      <c r="BS28" s="107" t="s">
        <v>21</v>
      </c>
      <c r="BT28" s="141" t="s">
        <v>138</v>
      </c>
      <c r="BU28" s="16">
        <v>42</v>
      </c>
      <c r="BV28" s="16">
        <v>45</v>
      </c>
      <c r="BW28" s="16">
        <v>48</v>
      </c>
      <c r="BX28" s="16">
        <v>51</v>
      </c>
      <c r="BY28" s="13">
        <f t="shared" si="7"/>
        <v>4</v>
      </c>
      <c r="BZ28" s="13">
        <f t="shared" si="27"/>
        <v>8</v>
      </c>
      <c r="CA28" s="13">
        <f t="shared" si="28"/>
        <v>100</v>
      </c>
      <c r="CB28" s="21">
        <f t="shared" si="49"/>
        <v>200</v>
      </c>
      <c r="CC28" s="69"/>
      <c r="CD28" s="20">
        <f t="shared" si="29"/>
        <v>10</v>
      </c>
      <c r="CE28" s="70"/>
      <c r="CF28" s="20">
        <f t="shared" si="8"/>
        <v>650</v>
      </c>
      <c r="CG28" s="70"/>
      <c r="CH28" s="20"/>
      <c r="CI28" s="70"/>
      <c r="CJ28" s="22"/>
      <c r="CK28" s="13">
        <v>17</v>
      </c>
      <c r="CL28" s="109"/>
      <c r="CM28" s="107"/>
      <c r="CN28" s="109"/>
      <c r="CO28" s="77"/>
      <c r="CP28" s="77"/>
      <c r="CQ28" s="77"/>
      <c r="CR28" s="77"/>
      <c r="CS28" s="107"/>
      <c r="CT28" s="107"/>
      <c r="CU28" s="107"/>
      <c r="CV28" s="107"/>
      <c r="CW28" s="107">
        <f t="shared" si="9"/>
        <v>0</v>
      </c>
      <c r="CX28" s="107">
        <f t="shared" si="30"/>
        <v>0</v>
      </c>
      <c r="CY28" s="107">
        <f t="shared" si="31"/>
        <v>0</v>
      </c>
      <c r="CZ28" s="134">
        <f t="shared" si="32"/>
        <v>0</v>
      </c>
      <c r="DA28" s="135"/>
      <c r="DB28" s="124">
        <f t="shared" si="33"/>
        <v>0</v>
      </c>
      <c r="DC28" s="136"/>
      <c r="DD28" s="124">
        <f t="shared" si="34"/>
        <v>650</v>
      </c>
      <c r="DE28" s="136"/>
      <c r="DF28" s="124">
        <f t="shared" si="35"/>
        <v>0</v>
      </c>
      <c r="DG28" s="70"/>
      <c r="DH28" s="22"/>
      <c r="DI28" s="13">
        <v>17</v>
      </c>
      <c r="DJ28" s="109"/>
      <c r="DK28" s="107"/>
      <c r="DL28" s="109"/>
      <c r="DM28" s="77"/>
      <c r="DN28" s="77"/>
      <c r="DO28" s="77"/>
      <c r="DP28" s="77"/>
      <c r="DQ28" s="77"/>
      <c r="DR28" s="77"/>
      <c r="DS28" s="77"/>
      <c r="DT28" s="107"/>
      <c r="DU28" s="107">
        <f t="shared" si="10"/>
        <v>0</v>
      </c>
      <c r="DV28" s="107">
        <f t="shared" si="36"/>
        <v>0</v>
      </c>
      <c r="DW28" s="107">
        <f t="shared" si="37"/>
        <v>0</v>
      </c>
      <c r="DX28" s="134">
        <f t="shared" si="38"/>
        <v>0</v>
      </c>
      <c r="DY28" s="135"/>
      <c r="DZ28" s="124">
        <f t="shared" si="39"/>
        <v>0</v>
      </c>
      <c r="EA28" s="136"/>
      <c r="EB28" s="124">
        <f t="shared" si="40"/>
        <v>650</v>
      </c>
      <c r="EC28" s="136"/>
      <c r="ED28" s="124">
        <f t="shared" si="41"/>
        <v>0</v>
      </c>
      <c r="EE28" s="70"/>
      <c r="EF28" s="22"/>
      <c r="EG28" s="13">
        <v>17</v>
      </c>
      <c r="EH28" s="109" t="s">
        <v>275</v>
      </c>
      <c r="EI28" s="107" t="s">
        <v>21</v>
      </c>
      <c r="EJ28" s="109" t="s">
        <v>99</v>
      </c>
      <c r="EK28" s="77"/>
      <c r="EL28" s="77"/>
      <c r="EM28" s="77"/>
      <c r="EN28" s="77"/>
      <c r="EO28" s="77"/>
      <c r="EP28" s="77"/>
      <c r="EQ28" s="77"/>
      <c r="ER28" s="107"/>
      <c r="ES28" s="107"/>
      <c r="ET28" s="107"/>
      <c r="EU28" s="107"/>
      <c r="EV28" s="107"/>
      <c r="EW28" s="107"/>
      <c r="EX28" s="107"/>
      <c r="EY28" s="107"/>
      <c r="EZ28" s="107"/>
      <c r="FA28" s="107">
        <f t="shared" si="11"/>
        <v>0</v>
      </c>
      <c r="FB28" s="107">
        <f t="shared" si="42"/>
        <v>0</v>
      </c>
      <c r="FC28" s="107">
        <f t="shared" si="43"/>
        <v>0</v>
      </c>
      <c r="FD28" s="134">
        <f t="shared" si="44"/>
        <v>0</v>
      </c>
      <c r="FE28" s="135"/>
      <c r="FF28" s="124">
        <f t="shared" si="45"/>
        <v>0</v>
      </c>
      <c r="FG28" s="136"/>
      <c r="FH28" s="124">
        <f t="shared" si="12"/>
        <v>650</v>
      </c>
      <c r="FI28" s="136"/>
      <c r="FJ28" s="124">
        <f t="shared" si="13"/>
        <v>0</v>
      </c>
      <c r="FK28" s="136"/>
      <c r="FL28" s="137"/>
      <c r="FM28" s="138"/>
      <c r="FN28" s="107">
        <f t="shared" si="50"/>
        <v>0</v>
      </c>
      <c r="FO28" s="107">
        <f t="shared" si="46"/>
        <v>0</v>
      </c>
    </row>
    <row r="29" spans="1:171" ht="20.100000000000001" customHeight="1" x14ac:dyDescent="0.25">
      <c r="A29" s="13">
        <v>18</v>
      </c>
      <c r="B29" s="109" t="s">
        <v>137</v>
      </c>
      <c r="C29" s="107" t="s">
        <v>21</v>
      </c>
      <c r="D29" s="143" t="s">
        <v>140</v>
      </c>
      <c r="E29" s="77">
        <v>3</v>
      </c>
      <c r="F29" s="77">
        <v>6</v>
      </c>
      <c r="G29" s="77">
        <v>9</v>
      </c>
      <c r="H29" s="77">
        <v>12</v>
      </c>
      <c r="I29" s="107">
        <f t="shared" si="0"/>
        <v>4</v>
      </c>
      <c r="J29" s="107">
        <f t="shared" si="15"/>
        <v>8</v>
      </c>
      <c r="K29" s="107">
        <f t="shared" si="47"/>
        <v>100</v>
      </c>
      <c r="L29" s="134">
        <f t="shared" si="16"/>
        <v>200</v>
      </c>
      <c r="M29" s="135"/>
      <c r="N29" s="124">
        <f t="shared" si="17"/>
        <v>10</v>
      </c>
      <c r="O29" s="136"/>
      <c r="P29" s="124">
        <f t="shared" si="18"/>
        <v>200</v>
      </c>
      <c r="Q29" s="136"/>
      <c r="R29" s="124">
        <f t="shared" si="19"/>
        <v>10</v>
      </c>
      <c r="S29" s="70"/>
      <c r="T29" s="22"/>
      <c r="U29" s="13">
        <v>18</v>
      </c>
      <c r="V29" s="109" t="s">
        <v>137</v>
      </c>
      <c r="W29" s="107" t="s">
        <v>21</v>
      </c>
      <c r="X29" s="143" t="s">
        <v>140</v>
      </c>
      <c r="Y29" s="77">
        <v>12</v>
      </c>
      <c r="Z29" s="77">
        <v>15</v>
      </c>
      <c r="AA29" s="77">
        <v>18</v>
      </c>
      <c r="AB29" s="77">
        <v>21</v>
      </c>
      <c r="AC29" s="77">
        <v>24</v>
      </c>
      <c r="AD29" s="77">
        <v>27</v>
      </c>
      <c r="AE29" s="77" t="s">
        <v>23</v>
      </c>
      <c r="AF29" s="77" t="s">
        <v>23</v>
      </c>
      <c r="AG29" s="107">
        <f t="shared" si="1"/>
        <v>6</v>
      </c>
      <c r="AH29" s="107">
        <f t="shared" si="20"/>
        <v>12</v>
      </c>
      <c r="AI29" s="107">
        <f t="shared" si="21"/>
        <v>75</v>
      </c>
      <c r="AJ29" s="134">
        <f t="shared" si="22"/>
        <v>300</v>
      </c>
      <c r="AK29" s="135"/>
      <c r="AL29" s="124">
        <f t="shared" si="23"/>
        <v>10</v>
      </c>
      <c r="AM29" s="136"/>
      <c r="AN29" s="124">
        <f t="shared" si="2"/>
        <v>500</v>
      </c>
      <c r="AO29" s="136"/>
      <c r="AP29" s="124">
        <f t="shared" si="3"/>
        <v>20</v>
      </c>
      <c r="AQ29" s="70"/>
      <c r="AR29" s="22"/>
      <c r="AS29" s="13">
        <v>18</v>
      </c>
      <c r="AT29" s="109" t="s">
        <v>137</v>
      </c>
      <c r="AU29" s="107" t="s">
        <v>21</v>
      </c>
      <c r="AV29" s="141" t="s">
        <v>140</v>
      </c>
      <c r="AW29" s="77" t="s">
        <v>23</v>
      </c>
      <c r="AX29" s="77">
        <v>9</v>
      </c>
      <c r="AY29" s="77">
        <v>12</v>
      </c>
      <c r="AZ29" s="77">
        <v>15</v>
      </c>
      <c r="BA29" s="77">
        <v>18</v>
      </c>
      <c r="BB29" s="77" t="s">
        <v>23</v>
      </c>
      <c r="BC29" s="77">
        <v>21</v>
      </c>
      <c r="BD29" s="77">
        <v>24</v>
      </c>
      <c r="BE29" s="107">
        <f t="shared" si="4"/>
        <v>6</v>
      </c>
      <c r="BF29" s="107">
        <f t="shared" si="24"/>
        <v>12</v>
      </c>
      <c r="BG29" s="107">
        <f t="shared" si="48"/>
        <v>75</v>
      </c>
      <c r="BH29" s="134">
        <f t="shared" si="25"/>
        <v>300</v>
      </c>
      <c r="BI29" s="135"/>
      <c r="BJ29" s="124">
        <f t="shared" si="26"/>
        <v>10</v>
      </c>
      <c r="BK29" s="136"/>
      <c r="BL29" s="124">
        <f t="shared" si="5"/>
        <v>800</v>
      </c>
      <c r="BM29" s="136"/>
      <c r="BN29" s="124">
        <f t="shared" si="6"/>
        <v>30</v>
      </c>
      <c r="BO29" s="70"/>
      <c r="BP29" s="22"/>
      <c r="BQ29" s="13">
        <v>18</v>
      </c>
      <c r="BR29" s="109" t="s">
        <v>137</v>
      </c>
      <c r="BS29" s="107" t="s">
        <v>21</v>
      </c>
      <c r="BT29" s="141" t="s">
        <v>140</v>
      </c>
      <c r="BU29" s="16" t="s">
        <v>23</v>
      </c>
      <c r="BV29" s="16" t="s">
        <v>23</v>
      </c>
      <c r="BW29" s="16">
        <v>27</v>
      </c>
      <c r="BX29" s="16">
        <v>30</v>
      </c>
      <c r="BY29" s="13">
        <f t="shared" si="7"/>
        <v>2</v>
      </c>
      <c r="BZ29" s="13">
        <f t="shared" si="27"/>
        <v>4</v>
      </c>
      <c r="CA29" s="13">
        <f t="shared" si="28"/>
        <v>50</v>
      </c>
      <c r="CB29" s="21">
        <f t="shared" si="49"/>
        <v>100</v>
      </c>
      <c r="CC29" s="69"/>
      <c r="CD29" s="20">
        <f t="shared" si="29"/>
        <v>5</v>
      </c>
      <c r="CE29" s="70"/>
      <c r="CF29" s="20">
        <f t="shared" si="8"/>
        <v>800</v>
      </c>
      <c r="CG29" s="70"/>
      <c r="CH29" s="20"/>
      <c r="CI29" s="70"/>
      <c r="CJ29" s="22"/>
      <c r="CK29" s="13">
        <v>18</v>
      </c>
      <c r="CL29" s="109"/>
      <c r="CM29" s="107"/>
      <c r="CN29" s="109"/>
      <c r="CO29" s="77"/>
      <c r="CP29" s="77"/>
      <c r="CQ29" s="77"/>
      <c r="CR29" s="77"/>
      <c r="CS29" s="77"/>
      <c r="CT29" s="107"/>
      <c r="CU29" s="107"/>
      <c r="CV29" s="107"/>
      <c r="CW29" s="107">
        <f t="shared" si="9"/>
        <v>0</v>
      </c>
      <c r="CX29" s="107">
        <f t="shared" si="30"/>
        <v>0</v>
      </c>
      <c r="CY29" s="107">
        <f t="shared" si="31"/>
        <v>0</v>
      </c>
      <c r="CZ29" s="134">
        <f t="shared" si="32"/>
        <v>0</v>
      </c>
      <c r="DA29" s="135"/>
      <c r="DB29" s="124">
        <f t="shared" si="33"/>
        <v>0</v>
      </c>
      <c r="DC29" s="136"/>
      <c r="DD29" s="124">
        <f t="shared" si="34"/>
        <v>800</v>
      </c>
      <c r="DE29" s="136"/>
      <c r="DF29" s="124">
        <f t="shared" si="35"/>
        <v>0</v>
      </c>
      <c r="DG29" s="70"/>
      <c r="DH29" s="22"/>
      <c r="DI29" s="13">
        <v>18</v>
      </c>
      <c r="DJ29" s="109"/>
      <c r="DK29" s="107"/>
      <c r="DL29" s="109"/>
      <c r="DM29" s="77"/>
      <c r="DN29" s="77"/>
      <c r="DO29" s="77"/>
      <c r="DP29" s="77"/>
      <c r="DQ29" s="77"/>
      <c r="DR29" s="77"/>
      <c r="DS29" s="77"/>
      <c r="DT29" s="107"/>
      <c r="DU29" s="107">
        <f t="shared" si="10"/>
        <v>0</v>
      </c>
      <c r="DV29" s="107">
        <f t="shared" si="36"/>
        <v>0</v>
      </c>
      <c r="DW29" s="107">
        <f t="shared" si="37"/>
        <v>0</v>
      </c>
      <c r="DX29" s="134">
        <f t="shared" si="38"/>
        <v>0</v>
      </c>
      <c r="DY29" s="135"/>
      <c r="DZ29" s="124">
        <f t="shared" si="39"/>
        <v>0</v>
      </c>
      <c r="EA29" s="136"/>
      <c r="EB29" s="124">
        <f t="shared" si="40"/>
        <v>800</v>
      </c>
      <c r="EC29" s="136"/>
      <c r="ED29" s="124">
        <f t="shared" si="41"/>
        <v>0</v>
      </c>
      <c r="EE29" s="70"/>
      <c r="EF29" s="22"/>
      <c r="EG29" s="13">
        <v>18</v>
      </c>
      <c r="EH29" s="109" t="s">
        <v>276</v>
      </c>
      <c r="EI29" s="107" t="s">
        <v>274</v>
      </c>
      <c r="EJ29" s="109" t="s">
        <v>100</v>
      </c>
      <c r="EK29" s="77"/>
      <c r="EL29" s="77"/>
      <c r="EM29" s="77"/>
      <c r="EN29" s="77"/>
      <c r="EO29" s="77"/>
      <c r="EP29" s="77"/>
      <c r="EQ29" s="77"/>
      <c r="ER29" s="107"/>
      <c r="ES29" s="107"/>
      <c r="ET29" s="107"/>
      <c r="EU29" s="107"/>
      <c r="EV29" s="107"/>
      <c r="EW29" s="107"/>
      <c r="EX29" s="107"/>
      <c r="EY29" s="107"/>
      <c r="EZ29" s="107"/>
      <c r="FA29" s="107">
        <f t="shared" si="11"/>
        <v>0</v>
      </c>
      <c r="FB29" s="107">
        <f t="shared" si="42"/>
        <v>0</v>
      </c>
      <c r="FC29" s="107">
        <f t="shared" si="43"/>
        <v>0</v>
      </c>
      <c r="FD29" s="134">
        <f t="shared" si="44"/>
        <v>0</v>
      </c>
      <c r="FE29" s="135"/>
      <c r="FF29" s="124">
        <f t="shared" si="45"/>
        <v>0</v>
      </c>
      <c r="FG29" s="136"/>
      <c r="FH29" s="124">
        <f t="shared" si="12"/>
        <v>800</v>
      </c>
      <c r="FI29" s="136"/>
      <c r="FJ29" s="124">
        <f t="shared" si="13"/>
        <v>0</v>
      </c>
      <c r="FK29" s="136"/>
      <c r="FL29" s="137"/>
      <c r="FM29" s="138"/>
      <c r="FN29" s="107">
        <f t="shared" si="50"/>
        <v>0</v>
      </c>
      <c r="FO29" s="107">
        <f t="shared" si="46"/>
        <v>0</v>
      </c>
    </row>
    <row r="30" spans="1:171" ht="20.100000000000001" customHeight="1" x14ac:dyDescent="0.25">
      <c r="A30" s="13">
        <v>19</v>
      </c>
      <c r="B30" s="109" t="s">
        <v>139</v>
      </c>
      <c r="C30" s="107" t="s">
        <v>21</v>
      </c>
      <c r="D30" s="143" t="s">
        <v>142</v>
      </c>
      <c r="E30" s="77">
        <v>3</v>
      </c>
      <c r="F30" s="77">
        <v>6</v>
      </c>
      <c r="G30" s="77">
        <v>9</v>
      </c>
      <c r="H30" s="77">
        <v>12</v>
      </c>
      <c r="I30" s="107">
        <f t="shared" si="0"/>
        <v>4</v>
      </c>
      <c r="J30" s="107">
        <f t="shared" si="15"/>
        <v>8</v>
      </c>
      <c r="K30" s="107">
        <f t="shared" si="47"/>
        <v>100</v>
      </c>
      <c r="L30" s="134">
        <f t="shared" si="16"/>
        <v>200</v>
      </c>
      <c r="M30" s="135"/>
      <c r="N30" s="124">
        <f t="shared" si="17"/>
        <v>10</v>
      </c>
      <c r="O30" s="136"/>
      <c r="P30" s="124">
        <f t="shared" si="18"/>
        <v>200</v>
      </c>
      <c r="Q30" s="136"/>
      <c r="R30" s="124">
        <f t="shared" si="19"/>
        <v>10</v>
      </c>
      <c r="S30" s="70"/>
      <c r="T30" s="22"/>
      <c r="U30" s="13">
        <v>19</v>
      </c>
      <c r="V30" s="109" t="s">
        <v>139</v>
      </c>
      <c r="W30" s="107" t="s">
        <v>21</v>
      </c>
      <c r="X30" s="143" t="s">
        <v>142</v>
      </c>
      <c r="Y30" s="77" t="s">
        <v>23</v>
      </c>
      <c r="Z30" s="77">
        <v>12</v>
      </c>
      <c r="AA30" s="77">
        <v>15</v>
      </c>
      <c r="AB30" s="77">
        <v>18</v>
      </c>
      <c r="AC30" s="77" t="s">
        <v>23</v>
      </c>
      <c r="AD30" s="77">
        <v>21</v>
      </c>
      <c r="AE30" s="77">
        <v>24</v>
      </c>
      <c r="AF30" s="77">
        <v>27</v>
      </c>
      <c r="AG30" s="107">
        <f t="shared" si="1"/>
        <v>6</v>
      </c>
      <c r="AH30" s="107">
        <f t="shared" si="20"/>
        <v>12</v>
      </c>
      <c r="AI30" s="107">
        <f t="shared" si="21"/>
        <v>75</v>
      </c>
      <c r="AJ30" s="134">
        <f t="shared" si="22"/>
        <v>300</v>
      </c>
      <c r="AK30" s="135"/>
      <c r="AL30" s="124">
        <f t="shared" si="23"/>
        <v>10</v>
      </c>
      <c r="AM30" s="136"/>
      <c r="AN30" s="124">
        <f t="shared" si="2"/>
        <v>500</v>
      </c>
      <c r="AO30" s="136"/>
      <c r="AP30" s="124">
        <f t="shared" si="3"/>
        <v>20</v>
      </c>
      <c r="AQ30" s="70"/>
      <c r="AR30" s="22"/>
      <c r="AS30" s="13">
        <v>19</v>
      </c>
      <c r="AT30" s="109" t="s">
        <v>139</v>
      </c>
      <c r="AU30" s="107" t="s">
        <v>21</v>
      </c>
      <c r="AV30" s="141" t="s">
        <v>142</v>
      </c>
      <c r="AW30" s="77">
        <v>30</v>
      </c>
      <c r="AX30" s="77">
        <v>33</v>
      </c>
      <c r="AY30" s="77">
        <v>36</v>
      </c>
      <c r="AZ30" s="77" t="s">
        <v>23</v>
      </c>
      <c r="BA30" s="77">
        <v>39</v>
      </c>
      <c r="BB30" s="77">
        <v>42</v>
      </c>
      <c r="BC30" s="77" t="s">
        <v>23</v>
      </c>
      <c r="BD30" s="77">
        <v>45</v>
      </c>
      <c r="BE30" s="107">
        <f t="shared" si="4"/>
        <v>6</v>
      </c>
      <c r="BF30" s="107">
        <f t="shared" si="24"/>
        <v>12</v>
      </c>
      <c r="BG30" s="107">
        <f t="shared" si="48"/>
        <v>75</v>
      </c>
      <c r="BH30" s="134">
        <f t="shared" si="25"/>
        <v>300</v>
      </c>
      <c r="BI30" s="135"/>
      <c r="BJ30" s="124">
        <f t="shared" si="26"/>
        <v>10</v>
      </c>
      <c r="BK30" s="136"/>
      <c r="BL30" s="124">
        <f t="shared" si="5"/>
        <v>800</v>
      </c>
      <c r="BM30" s="136"/>
      <c r="BN30" s="124">
        <f t="shared" si="6"/>
        <v>30</v>
      </c>
      <c r="BO30" s="70"/>
      <c r="BP30" s="22"/>
      <c r="BQ30" s="13">
        <v>19</v>
      </c>
      <c r="BR30" s="109" t="s">
        <v>139</v>
      </c>
      <c r="BS30" s="107" t="s">
        <v>21</v>
      </c>
      <c r="BT30" s="141" t="s">
        <v>142</v>
      </c>
      <c r="BU30" s="16">
        <v>48</v>
      </c>
      <c r="BV30" s="16">
        <v>51</v>
      </c>
      <c r="BW30" s="16">
        <v>54</v>
      </c>
      <c r="BX30" s="16">
        <v>57</v>
      </c>
      <c r="BY30" s="13">
        <f t="shared" si="7"/>
        <v>4</v>
      </c>
      <c r="BZ30" s="13">
        <f t="shared" si="27"/>
        <v>8</v>
      </c>
      <c r="CA30" s="13">
        <f t="shared" si="28"/>
        <v>100</v>
      </c>
      <c r="CB30" s="21">
        <f t="shared" si="49"/>
        <v>200</v>
      </c>
      <c r="CC30" s="69"/>
      <c r="CD30" s="20">
        <f t="shared" si="29"/>
        <v>10</v>
      </c>
      <c r="CE30" s="70"/>
      <c r="CF30" s="20">
        <f t="shared" si="8"/>
        <v>800</v>
      </c>
      <c r="CG30" s="70"/>
      <c r="CH30" s="20"/>
      <c r="CI30" s="70"/>
      <c r="CJ30" s="22"/>
      <c r="CK30" s="13">
        <v>19</v>
      </c>
      <c r="CL30" s="109"/>
      <c r="CM30" s="107"/>
      <c r="CN30" s="109"/>
      <c r="CO30" s="77"/>
      <c r="CP30" s="77"/>
      <c r="CQ30" s="77"/>
      <c r="CR30" s="77"/>
      <c r="CS30" s="77"/>
      <c r="CT30" s="107"/>
      <c r="CU30" s="107"/>
      <c r="CV30" s="107"/>
      <c r="CW30" s="107">
        <f t="shared" si="9"/>
        <v>0</v>
      </c>
      <c r="CX30" s="107">
        <f t="shared" si="30"/>
        <v>0</v>
      </c>
      <c r="CY30" s="107">
        <f t="shared" si="31"/>
        <v>0</v>
      </c>
      <c r="CZ30" s="134">
        <f t="shared" si="32"/>
        <v>0</v>
      </c>
      <c r="DA30" s="135"/>
      <c r="DB30" s="124">
        <f t="shared" si="33"/>
        <v>0</v>
      </c>
      <c r="DC30" s="136"/>
      <c r="DD30" s="124">
        <f t="shared" si="34"/>
        <v>800</v>
      </c>
      <c r="DE30" s="136"/>
      <c r="DF30" s="124">
        <f t="shared" si="35"/>
        <v>0</v>
      </c>
      <c r="DG30" s="70"/>
      <c r="DH30" s="22"/>
      <c r="DI30" s="13">
        <v>19</v>
      </c>
      <c r="DJ30" s="109"/>
      <c r="DK30" s="107"/>
      <c r="DL30" s="109"/>
      <c r="DM30" s="77"/>
      <c r="DN30" s="77"/>
      <c r="DO30" s="77"/>
      <c r="DP30" s="77"/>
      <c r="DQ30" s="77"/>
      <c r="DR30" s="77"/>
      <c r="DS30" s="77"/>
      <c r="DT30" s="107"/>
      <c r="DU30" s="107">
        <f t="shared" si="10"/>
        <v>0</v>
      </c>
      <c r="DV30" s="107">
        <f t="shared" si="36"/>
        <v>0</v>
      </c>
      <c r="DW30" s="107">
        <f t="shared" si="37"/>
        <v>0</v>
      </c>
      <c r="DX30" s="134">
        <f t="shared" si="38"/>
        <v>0</v>
      </c>
      <c r="DY30" s="135"/>
      <c r="DZ30" s="124">
        <f t="shared" si="39"/>
        <v>0</v>
      </c>
      <c r="EA30" s="136"/>
      <c r="EB30" s="124">
        <f t="shared" si="40"/>
        <v>800</v>
      </c>
      <c r="EC30" s="136"/>
      <c r="ED30" s="124">
        <f t="shared" si="41"/>
        <v>0</v>
      </c>
      <c r="EE30" s="70"/>
      <c r="EF30" s="22"/>
      <c r="EG30" s="13">
        <v>19</v>
      </c>
      <c r="EH30" s="109" t="s">
        <v>277</v>
      </c>
      <c r="EI30" s="107" t="s">
        <v>261</v>
      </c>
      <c r="EJ30" s="109" t="s">
        <v>101</v>
      </c>
      <c r="EK30" s="77"/>
      <c r="EL30" s="77"/>
      <c r="EM30" s="77"/>
      <c r="EN30" s="77"/>
      <c r="EO30" s="77"/>
      <c r="EP30" s="77"/>
      <c r="EQ30" s="77"/>
      <c r="ER30" s="107"/>
      <c r="ES30" s="107"/>
      <c r="ET30" s="107"/>
      <c r="EU30" s="107"/>
      <c r="EV30" s="107"/>
      <c r="EW30" s="107"/>
      <c r="EX30" s="107"/>
      <c r="EY30" s="107"/>
      <c r="EZ30" s="107"/>
      <c r="FA30" s="107">
        <f t="shared" si="11"/>
        <v>0</v>
      </c>
      <c r="FB30" s="107">
        <f t="shared" si="42"/>
        <v>0</v>
      </c>
      <c r="FC30" s="107">
        <f t="shared" si="43"/>
        <v>0</v>
      </c>
      <c r="FD30" s="134">
        <f t="shared" si="44"/>
        <v>0</v>
      </c>
      <c r="FE30" s="135"/>
      <c r="FF30" s="124">
        <f t="shared" si="45"/>
        <v>0</v>
      </c>
      <c r="FG30" s="136"/>
      <c r="FH30" s="124">
        <f t="shared" si="12"/>
        <v>800</v>
      </c>
      <c r="FI30" s="136"/>
      <c r="FJ30" s="124">
        <f t="shared" si="13"/>
        <v>0</v>
      </c>
      <c r="FK30" s="136"/>
      <c r="FL30" s="137"/>
      <c r="FM30" s="138"/>
      <c r="FN30" s="107">
        <f t="shared" si="50"/>
        <v>0</v>
      </c>
      <c r="FO30" s="107">
        <f t="shared" si="46"/>
        <v>0</v>
      </c>
    </row>
    <row r="31" spans="1:171" ht="20.100000000000001" customHeight="1" x14ac:dyDescent="0.25">
      <c r="A31" s="13">
        <v>20</v>
      </c>
      <c r="B31" s="109" t="s">
        <v>141</v>
      </c>
      <c r="C31" s="107" t="s">
        <v>21</v>
      </c>
      <c r="D31" s="143" t="s">
        <v>144</v>
      </c>
      <c r="E31" s="77">
        <v>3</v>
      </c>
      <c r="F31" s="77">
        <v>6</v>
      </c>
      <c r="G31" s="77">
        <v>9</v>
      </c>
      <c r="H31" s="77">
        <v>12</v>
      </c>
      <c r="I31" s="107">
        <f t="shared" si="0"/>
        <v>4</v>
      </c>
      <c r="J31" s="107">
        <f t="shared" si="15"/>
        <v>8</v>
      </c>
      <c r="K31" s="107">
        <f t="shared" si="47"/>
        <v>100</v>
      </c>
      <c r="L31" s="134">
        <f t="shared" si="16"/>
        <v>200</v>
      </c>
      <c r="M31" s="135"/>
      <c r="N31" s="124">
        <f t="shared" si="17"/>
        <v>10</v>
      </c>
      <c r="O31" s="136"/>
      <c r="P31" s="124">
        <f t="shared" si="18"/>
        <v>200</v>
      </c>
      <c r="Q31" s="136"/>
      <c r="R31" s="124">
        <f t="shared" si="19"/>
        <v>10</v>
      </c>
      <c r="S31" s="70"/>
      <c r="T31" s="22"/>
      <c r="U31" s="13">
        <v>20</v>
      </c>
      <c r="V31" s="109" t="s">
        <v>141</v>
      </c>
      <c r="W31" s="107" t="s">
        <v>21</v>
      </c>
      <c r="X31" s="143" t="s">
        <v>144</v>
      </c>
      <c r="Y31" s="77">
        <v>15</v>
      </c>
      <c r="Z31" s="77">
        <v>18</v>
      </c>
      <c r="AA31" s="77" t="s">
        <v>23</v>
      </c>
      <c r="AB31" s="77">
        <v>21</v>
      </c>
      <c r="AC31" s="77">
        <v>24</v>
      </c>
      <c r="AD31" s="77">
        <v>27</v>
      </c>
      <c r="AE31" s="77" t="s">
        <v>23</v>
      </c>
      <c r="AF31" s="77">
        <v>30</v>
      </c>
      <c r="AG31" s="107">
        <f t="shared" si="1"/>
        <v>6</v>
      </c>
      <c r="AH31" s="107">
        <f t="shared" si="20"/>
        <v>12</v>
      </c>
      <c r="AI31" s="107">
        <f t="shared" si="21"/>
        <v>75</v>
      </c>
      <c r="AJ31" s="134">
        <f t="shared" si="22"/>
        <v>300</v>
      </c>
      <c r="AK31" s="135"/>
      <c r="AL31" s="124">
        <f t="shared" si="23"/>
        <v>10</v>
      </c>
      <c r="AM31" s="136"/>
      <c r="AN31" s="124">
        <f t="shared" si="2"/>
        <v>500</v>
      </c>
      <c r="AO31" s="136"/>
      <c r="AP31" s="124">
        <f t="shared" si="3"/>
        <v>20</v>
      </c>
      <c r="AQ31" s="70"/>
      <c r="AR31" s="22"/>
      <c r="AS31" s="13">
        <v>20</v>
      </c>
      <c r="AT31" s="109" t="s">
        <v>141</v>
      </c>
      <c r="AU31" s="107" t="s">
        <v>21</v>
      </c>
      <c r="AV31" s="141" t="s">
        <v>144</v>
      </c>
      <c r="AW31" s="77">
        <v>33</v>
      </c>
      <c r="AX31" s="77">
        <v>36</v>
      </c>
      <c r="AY31" s="77" t="s">
        <v>23</v>
      </c>
      <c r="AZ31" s="77">
        <v>39</v>
      </c>
      <c r="BA31" s="77">
        <v>42</v>
      </c>
      <c r="BB31" s="77">
        <v>45</v>
      </c>
      <c r="BC31" s="77">
        <v>48</v>
      </c>
      <c r="BD31" s="77" t="s">
        <v>23</v>
      </c>
      <c r="BE31" s="107">
        <f t="shared" si="4"/>
        <v>6</v>
      </c>
      <c r="BF31" s="107">
        <f t="shared" si="24"/>
        <v>12</v>
      </c>
      <c r="BG31" s="107">
        <f t="shared" si="48"/>
        <v>75</v>
      </c>
      <c r="BH31" s="134">
        <f t="shared" si="25"/>
        <v>300</v>
      </c>
      <c r="BI31" s="135"/>
      <c r="BJ31" s="124">
        <f t="shared" si="26"/>
        <v>10</v>
      </c>
      <c r="BK31" s="136"/>
      <c r="BL31" s="124">
        <f t="shared" si="5"/>
        <v>800</v>
      </c>
      <c r="BM31" s="136"/>
      <c r="BN31" s="124">
        <f t="shared" si="6"/>
        <v>30</v>
      </c>
      <c r="BO31" s="70"/>
      <c r="BP31" s="22"/>
      <c r="BQ31" s="13">
        <v>20</v>
      </c>
      <c r="BR31" s="109" t="s">
        <v>141</v>
      </c>
      <c r="BS31" s="107" t="s">
        <v>21</v>
      </c>
      <c r="BT31" s="141" t="s">
        <v>144</v>
      </c>
      <c r="BU31" s="16">
        <v>51</v>
      </c>
      <c r="BV31" s="16" t="s">
        <v>23</v>
      </c>
      <c r="BW31" s="16">
        <v>54</v>
      </c>
      <c r="BX31" s="16">
        <v>57</v>
      </c>
      <c r="BY31" s="13">
        <f t="shared" si="7"/>
        <v>3</v>
      </c>
      <c r="BZ31" s="13">
        <f t="shared" si="27"/>
        <v>6</v>
      </c>
      <c r="CA31" s="13">
        <f t="shared" si="28"/>
        <v>75</v>
      </c>
      <c r="CB31" s="21">
        <f t="shared" si="49"/>
        <v>150</v>
      </c>
      <c r="CC31" s="69"/>
      <c r="CD31" s="20">
        <f t="shared" si="29"/>
        <v>10</v>
      </c>
      <c r="CE31" s="70"/>
      <c r="CF31" s="20">
        <f t="shared" si="8"/>
        <v>800</v>
      </c>
      <c r="CG31" s="70"/>
      <c r="CH31" s="20"/>
      <c r="CI31" s="70"/>
      <c r="CJ31" s="22"/>
      <c r="CK31" s="13">
        <v>20</v>
      </c>
      <c r="CL31" s="109"/>
      <c r="CM31" s="107"/>
      <c r="CN31" s="109"/>
      <c r="CO31" s="77"/>
      <c r="CP31" s="77"/>
      <c r="CQ31" s="77"/>
      <c r="CR31" s="77"/>
      <c r="CS31" s="107"/>
      <c r="CT31" s="107"/>
      <c r="CU31" s="107"/>
      <c r="CV31" s="107"/>
      <c r="CW31" s="107">
        <f t="shared" si="9"/>
        <v>0</v>
      </c>
      <c r="CX31" s="107">
        <f t="shared" si="30"/>
        <v>0</v>
      </c>
      <c r="CY31" s="107">
        <f t="shared" si="31"/>
        <v>0</v>
      </c>
      <c r="CZ31" s="134">
        <f t="shared" si="32"/>
        <v>0</v>
      </c>
      <c r="DA31" s="135"/>
      <c r="DB31" s="124">
        <f t="shared" si="33"/>
        <v>0</v>
      </c>
      <c r="DC31" s="136"/>
      <c r="DD31" s="124">
        <f t="shared" si="34"/>
        <v>800</v>
      </c>
      <c r="DE31" s="136"/>
      <c r="DF31" s="124">
        <f t="shared" si="35"/>
        <v>0</v>
      </c>
      <c r="DG31" s="70"/>
      <c r="DH31" s="22"/>
      <c r="DI31" s="13">
        <v>20</v>
      </c>
      <c r="DJ31" s="109"/>
      <c r="DK31" s="107"/>
      <c r="DL31" s="109"/>
      <c r="DM31" s="77"/>
      <c r="DN31" s="77"/>
      <c r="DO31" s="77"/>
      <c r="DP31" s="77"/>
      <c r="DQ31" s="77"/>
      <c r="DR31" s="77"/>
      <c r="DS31" s="77"/>
      <c r="DT31" s="107"/>
      <c r="DU31" s="107">
        <f t="shared" si="10"/>
        <v>0</v>
      </c>
      <c r="DV31" s="107">
        <f t="shared" si="36"/>
        <v>0</v>
      </c>
      <c r="DW31" s="107">
        <f t="shared" si="37"/>
        <v>0</v>
      </c>
      <c r="DX31" s="134">
        <f t="shared" si="38"/>
        <v>0</v>
      </c>
      <c r="DY31" s="135"/>
      <c r="DZ31" s="124">
        <f t="shared" si="39"/>
        <v>0</v>
      </c>
      <c r="EA31" s="136"/>
      <c r="EB31" s="124">
        <f t="shared" si="40"/>
        <v>800</v>
      </c>
      <c r="EC31" s="136"/>
      <c r="ED31" s="124">
        <f t="shared" si="41"/>
        <v>0</v>
      </c>
      <c r="EE31" s="70"/>
      <c r="EF31" s="22"/>
      <c r="EG31" s="13">
        <v>20</v>
      </c>
      <c r="EH31" s="109" t="s">
        <v>278</v>
      </c>
      <c r="EI31" s="107" t="s">
        <v>21</v>
      </c>
      <c r="EJ31" s="109" t="s">
        <v>102</v>
      </c>
      <c r="EK31" s="77"/>
      <c r="EL31" s="77"/>
      <c r="EM31" s="77"/>
      <c r="EN31" s="77"/>
      <c r="EO31" s="77"/>
      <c r="EP31" s="77"/>
      <c r="EQ31" s="77"/>
      <c r="ER31" s="107"/>
      <c r="ES31" s="107"/>
      <c r="ET31" s="107"/>
      <c r="EU31" s="107"/>
      <c r="EV31" s="107"/>
      <c r="EW31" s="107"/>
      <c r="EX31" s="107"/>
      <c r="EY31" s="107"/>
      <c r="EZ31" s="107"/>
      <c r="FA31" s="107">
        <f t="shared" si="11"/>
        <v>0</v>
      </c>
      <c r="FB31" s="107">
        <f t="shared" si="42"/>
        <v>0</v>
      </c>
      <c r="FC31" s="107">
        <f t="shared" si="43"/>
        <v>0</v>
      </c>
      <c r="FD31" s="134">
        <f t="shared" si="44"/>
        <v>0</v>
      </c>
      <c r="FE31" s="135"/>
      <c r="FF31" s="124">
        <f t="shared" si="45"/>
        <v>0</v>
      </c>
      <c r="FG31" s="136"/>
      <c r="FH31" s="124">
        <f t="shared" si="12"/>
        <v>800</v>
      </c>
      <c r="FI31" s="136"/>
      <c r="FJ31" s="124">
        <f t="shared" si="13"/>
        <v>0</v>
      </c>
      <c r="FK31" s="136"/>
      <c r="FL31" s="137"/>
      <c r="FM31" s="138"/>
      <c r="FN31" s="107">
        <f t="shared" si="50"/>
        <v>0</v>
      </c>
      <c r="FO31" s="107">
        <f t="shared" si="46"/>
        <v>0</v>
      </c>
    </row>
    <row r="32" spans="1:171" ht="20.100000000000001" customHeight="1" x14ac:dyDescent="0.25">
      <c r="A32" s="13">
        <v>21</v>
      </c>
      <c r="B32" s="109" t="s">
        <v>143</v>
      </c>
      <c r="C32" s="107" t="s">
        <v>21</v>
      </c>
      <c r="D32" s="143" t="s">
        <v>146</v>
      </c>
      <c r="E32" s="77">
        <v>3</v>
      </c>
      <c r="F32" s="77" t="s">
        <v>23</v>
      </c>
      <c r="G32" s="77">
        <v>6</v>
      </c>
      <c r="H32" s="77" t="s">
        <v>23</v>
      </c>
      <c r="I32" s="107">
        <f t="shared" si="0"/>
        <v>2</v>
      </c>
      <c r="J32" s="107">
        <f t="shared" si="15"/>
        <v>4</v>
      </c>
      <c r="K32" s="107">
        <f t="shared" si="47"/>
        <v>50</v>
      </c>
      <c r="L32" s="134">
        <f t="shared" si="16"/>
        <v>100</v>
      </c>
      <c r="M32" s="135"/>
      <c r="N32" s="124">
        <f t="shared" si="17"/>
        <v>5</v>
      </c>
      <c r="O32" s="136"/>
      <c r="P32" s="124">
        <f t="shared" si="18"/>
        <v>100</v>
      </c>
      <c r="Q32" s="136"/>
      <c r="R32" s="124">
        <f t="shared" si="19"/>
        <v>5</v>
      </c>
      <c r="S32" s="70"/>
      <c r="T32" s="22"/>
      <c r="U32" s="13">
        <v>21</v>
      </c>
      <c r="V32" s="109" t="s">
        <v>143</v>
      </c>
      <c r="W32" s="107" t="s">
        <v>21</v>
      </c>
      <c r="X32" s="143" t="s">
        <v>146</v>
      </c>
      <c r="Y32" s="77" t="s">
        <v>23</v>
      </c>
      <c r="Z32" s="77">
        <v>12</v>
      </c>
      <c r="AA32" s="77" t="s">
        <v>23</v>
      </c>
      <c r="AB32" s="77" t="s">
        <v>23</v>
      </c>
      <c r="AC32" s="77" t="s">
        <v>23</v>
      </c>
      <c r="AD32" s="77" t="s">
        <v>23</v>
      </c>
      <c r="AE32" s="77" t="s">
        <v>23</v>
      </c>
      <c r="AF32" s="77">
        <v>15</v>
      </c>
      <c r="AG32" s="107">
        <f t="shared" si="1"/>
        <v>2</v>
      </c>
      <c r="AH32" s="107">
        <f t="shared" si="20"/>
        <v>4</v>
      </c>
      <c r="AI32" s="107">
        <f t="shared" si="21"/>
        <v>25</v>
      </c>
      <c r="AJ32" s="134">
        <f t="shared" si="22"/>
        <v>100</v>
      </c>
      <c r="AK32" s="135"/>
      <c r="AL32" s="124">
        <f>IF(AI32&lt;=40,0,IF(AI32&lt;=60,5,IF(AI32&gt;=61,10)))</f>
        <v>0</v>
      </c>
      <c r="AM32" s="136"/>
      <c r="AN32" s="124">
        <f t="shared" si="2"/>
        <v>200</v>
      </c>
      <c r="AO32" s="136"/>
      <c r="AP32" s="124">
        <f t="shared" si="3"/>
        <v>5</v>
      </c>
      <c r="AQ32" s="70"/>
      <c r="AR32" s="22"/>
      <c r="AS32" s="13">
        <v>21</v>
      </c>
      <c r="AT32" s="109" t="s">
        <v>143</v>
      </c>
      <c r="AU32" s="107" t="s">
        <v>21</v>
      </c>
      <c r="AV32" s="141" t="s">
        <v>146</v>
      </c>
      <c r="AW32" s="77">
        <v>33</v>
      </c>
      <c r="AX32" s="77" t="s">
        <v>23</v>
      </c>
      <c r="AY32" s="77">
        <v>36</v>
      </c>
      <c r="AZ32" s="77" t="s">
        <v>23</v>
      </c>
      <c r="BA32" s="77" t="s">
        <v>23</v>
      </c>
      <c r="BB32" s="77" t="s">
        <v>23</v>
      </c>
      <c r="BC32" s="77">
        <v>39</v>
      </c>
      <c r="BD32" s="77">
        <v>42</v>
      </c>
      <c r="BE32" s="107">
        <f t="shared" si="4"/>
        <v>4</v>
      </c>
      <c r="BF32" s="107">
        <f t="shared" si="24"/>
        <v>8</v>
      </c>
      <c r="BG32" s="107">
        <f t="shared" si="48"/>
        <v>50</v>
      </c>
      <c r="BH32" s="134">
        <f t="shared" si="25"/>
        <v>200</v>
      </c>
      <c r="BI32" s="135"/>
      <c r="BJ32" s="124">
        <f t="shared" si="26"/>
        <v>5</v>
      </c>
      <c r="BK32" s="136"/>
      <c r="BL32" s="124">
        <f t="shared" si="5"/>
        <v>400</v>
      </c>
      <c r="BM32" s="136"/>
      <c r="BN32" s="124">
        <f t="shared" si="6"/>
        <v>10</v>
      </c>
      <c r="BO32" s="70"/>
      <c r="BP32" s="22"/>
      <c r="BQ32" s="13">
        <v>21</v>
      </c>
      <c r="BR32" s="109" t="s">
        <v>143</v>
      </c>
      <c r="BS32" s="107" t="s">
        <v>21</v>
      </c>
      <c r="BT32" s="141" t="s">
        <v>146</v>
      </c>
      <c r="BU32" s="16" t="s">
        <v>23</v>
      </c>
      <c r="BV32" s="16">
        <v>45</v>
      </c>
      <c r="BW32" s="16" t="s">
        <v>23</v>
      </c>
      <c r="BX32" s="16">
        <v>48</v>
      </c>
      <c r="BY32" s="13">
        <f t="shared" si="7"/>
        <v>2</v>
      </c>
      <c r="BZ32" s="13">
        <f t="shared" si="27"/>
        <v>4</v>
      </c>
      <c r="CA32" s="13">
        <f t="shared" si="28"/>
        <v>50</v>
      </c>
      <c r="CB32" s="21">
        <f t="shared" si="49"/>
        <v>100</v>
      </c>
      <c r="CC32" s="69"/>
      <c r="CD32" s="20">
        <f t="shared" si="29"/>
        <v>5</v>
      </c>
      <c r="CE32" s="70"/>
      <c r="CF32" s="20">
        <f t="shared" si="8"/>
        <v>400</v>
      </c>
      <c r="CG32" s="70"/>
      <c r="CH32" s="20"/>
      <c r="CI32" s="70"/>
      <c r="CJ32" s="22"/>
      <c r="CK32" s="13">
        <v>21</v>
      </c>
      <c r="CL32" s="109"/>
      <c r="CM32" s="107"/>
      <c r="CN32" s="109"/>
      <c r="CO32" s="77"/>
      <c r="CP32" s="77"/>
      <c r="CQ32" s="77"/>
      <c r="CR32" s="77"/>
      <c r="CS32" s="77"/>
      <c r="CT32" s="107"/>
      <c r="CU32" s="107"/>
      <c r="CV32" s="107"/>
      <c r="CW32" s="107">
        <f t="shared" si="9"/>
        <v>0</v>
      </c>
      <c r="CX32" s="107">
        <f t="shared" si="30"/>
        <v>0</v>
      </c>
      <c r="CY32" s="107">
        <f t="shared" si="31"/>
        <v>0</v>
      </c>
      <c r="CZ32" s="134">
        <f t="shared" si="32"/>
        <v>0</v>
      </c>
      <c r="DA32" s="135"/>
      <c r="DB32" s="124">
        <f t="shared" si="33"/>
        <v>0</v>
      </c>
      <c r="DC32" s="136"/>
      <c r="DD32" s="124">
        <f t="shared" si="34"/>
        <v>400</v>
      </c>
      <c r="DE32" s="136"/>
      <c r="DF32" s="124">
        <f t="shared" si="35"/>
        <v>0</v>
      </c>
      <c r="DG32" s="70"/>
      <c r="DH32" s="22"/>
      <c r="DI32" s="13">
        <v>21</v>
      </c>
      <c r="DJ32" s="109"/>
      <c r="DK32" s="107"/>
      <c r="DL32" s="109"/>
      <c r="DM32" s="77"/>
      <c r="DN32" s="77"/>
      <c r="DO32" s="77"/>
      <c r="DP32" s="77"/>
      <c r="DQ32" s="77"/>
      <c r="DR32" s="77"/>
      <c r="DS32" s="77"/>
      <c r="DT32" s="107"/>
      <c r="DU32" s="107">
        <f t="shared" si="10"/>
        <v>0</v>
      </c>
      <c r="DV32" s="107">
        <f t="shared" si="36"/>
        <v>0</v>
      </c>
      <c r="DW32" s="107">
        <f t="shared" si="37"/>
        <v>0</v>
      </c>
      <c r="DX32" s="134">
        <f t="shared" si="38"/>
        <v>0</v>
      </c>
      <c r="DY32" s="135"/>
      <c r="DZ32" s="124">
        <f t="shared" si="39"/>
        <v>0</v>
      </c>
      <c r="EA32" s="136"/>
      <c r="EB32" s="124">
        <f t="shared" si="40"/>
        <v>400</v>
      </c>
      <c r="EC32" s="136"/>
      <c r="ED32" s="124">
        <f t="shared" si="41"/>
        <v>0</v>
      </c>
      <c r="EE32" s="70"/>
      <c r="EF32" s="22"/>
      <c r="EG32" s="13">
        <v>21</v>
      </c>
      <c r="EH32" s="109" t="s">
        <v>279</v>
      </c>
      <c r="EI32" s="107" t="s">
        <v>262</v>
      </c>
      <c r="EJ32" s="109" t="s">
        <v>103</v>
      </c>
      <c r="EK32" s="77"/>
      <c r="EL32" s="77"/>
      <c r="EM32" s="77"/>
      <c r="EN32" s="77"/>
      <c r="EO32" s="77"/>
      <c r="EP32" s="77"/>
      <c r="EQ32" s="77"/>
      <c r="ER32" s="107"/>
      <c r="ES32" s="107"/>
      <c r="ET32" s="107"/>
      <c r="EU32" s="107"/>
      <c r="EV32" s="107"/>
      <c r="EW32" s="107"/>
      <c r="EX32" s="107"/>
      <c r="EY32" s="107"/>
      <c r="EZ32" s="107"/>
      <c r="FA32" s="107">
        <f t="shared" si="11"/>
        <v>0</v>
      </c>
      <c r="FB32" s="107">
        <f t="shared" si="42"/>
        <v>0</v>
      </c>
      <c r="FC32" s="107">
        <f t="shared" si="43"/>
        <v>0</v>
      </c>
      <c r="FD32" s="134">
        <f t="shared" si="44"/>
        <v>0</v>
      </c>
      <c r="FE32" s="135"/>
      <c r="FF32" s="124">
        <f t="shared" si="45"/>
        <v>0</v>
      </c>
      <c r="FG32" s="136"/>
      <c r="FH32" s="124">
        <f t="shared" si="12"/>
        <v>400</v>
      </c>
      <c r="FI32" s="136"/>
      <c r="FJ32" s="124">
        <f t="shared" si="13"/>
        <v>0</v>
      </c>
      <c r="FK32" s="136"/>
      <c r="FL32" s="137"/>
      <c r="FM32" s="138"/>
      <c r="FN32" s="107">
        <f t="shared" si="50"/>
        <v>0</v>
      </c>
      <c r="FO32" s="107">
        <f t="shared" si="46"/>
        <v>0</v>
      </c>
    </row>
    <row r="33" spans="1:186" ht="20.100000000000001" customHeight="1" x14ac:dyDescent="0.25">
      <c r="A33" s="13">
        <v>22</v>
      </c>
      <c r="B33" s="109" t="s">
        <v>145</v>
      </c>
      <c r="C33" s="107" t="s">
        <v>21</v>
      </c>
      <c r="D33" s="143" t="s">
        <v>147</v>
      </c>
      <c r="E33" s="77">
        <v>3</v>
      </c>
      <c r="F33" s="77" t="s">
        <v>23</v>
      </c>
      <c r="G33" s="77">
        <v>6</v>
      </c>
      <c r="H33" s="77">
        <v>12</v>
      </c>
      <c r="I33" s="107">
        <f t="shared" si="0"/>
        <v>3</v>
      </c>
      <c r="J33" s="107">
        <f t="shared" ref="J33" si="51">I33*2</f>
        <v>6</v>
      </c>
      <c r="K33" s="107">
        <f t="shared" si="47"/>
        <v>75</v>
      </c>
      <c r="L33" s="134">
        <f t="shared" si="16"/>
        <v>150</v>
      </c>
      <c r="M33" s="135"/>
      <c r="N33" s="124">
        <f t="shared" ref="N33" si="52">IF(K33&lt;=40,0,IF(K33&lt;=60,5,IF(K33&gt;=61,10)))</f>
        <v>10</v>
      </c>
      <c r="O33" s="136"/>
      <c r="P33" s="124">
        <f t="shared" ref="P33" si="53">L33</f>
        <v>150</v>
      </c>
      <c r="Q33" s="136"/>
      <c r="R33" s="124">
        <f t="shared" ref="R33" si="54">N33</f>
        <v>10</v>
      </c>
      <c r="S33" s="72"/>
      <c r="T33" s="37"/>
      <c r="U33" s="13">
        <v>22</v>
      </c>
      <c r="V33" s="109" t="s">
        <v>145</v>
      </c>
      <c r="W33" s="107" t="s">
        <v>21</v>
      </c>
      <c r="X33" s="143" t="s">
        <v>147</v>
      </c>
      <c r="Y33" s="77" t="s">
        <v>23</v>
      </c>
      <c r="Z33" s="77" t="s">
        <v>23</v>
      </c>
      <c r="AA33" s="77">
        <v>12</v>
      </c>
      <c r="AB33" s="77" t="s">
        <v>23</v>
      </c>
      <c r="AC33" s="77">
        <v>15</v>
      </c>
      <c r="AD33" s="77" t="s">
        <v>23</v>
      </c>
      <c r="AE33" s="77">
        <v>18</v>
      </c>
      <c r="AF33" s="77" t="s">
        <v>23</v>
      </c>
      <c r="AG33" s="107">
        <f t="shared" si="1"/>
        <v>3</v>
      </c>
      <c r="AH33" s="107">
        <f t="shared" si="20"/>
        <v>6</v>
      </c>
      <c r="AI33" s="107">
        <f t="shared" si="21"/>
        <v>37.5</v>
      </c>
      <c r="AJ33" s="134">
        <f t="shared" si="22"/>
        <v>150</v>
      </c>
      <c r="AK33" s="135"/>
      <c r="AL33" s="124">
        <f>IF(AI33&lt;=40,0,IF(AI33&lt;=60,5,IF(AI33&gt;=61,10)))</f>
        <v>0</v>
      </c>
      <c r="AM33" s="136"/>
      <c r="AN33" s="124">
        <f t="shared" si="2"/>
        <v>300</v>
      </c>
      <c r="AO33" s="136"/>
      <c r="AP33" s="124">
        <f t="shared" si="3"/>
        <v>10</v>
      </c>
      <c r="AQ33" s="72"/>
      <c r="AR33" s="37"/>
      <c r="AS33" s="13">
        <v>22</v>
      </c>
      <c r="AT33" s="109" t="s">
        <v>145</v>
      </c>
      <c r="AU33" s="107" t="s">
        <v>21</v>
      </c>
      <c r="AV33" s="141" t="s">
        <v>147</v>
      </c>
      <c r="AW33" s="77">
        <v>21</v>
      </c>
      <c r="AX33" s="77">
        <v>24</v>
      </c>
      <c r="AY33" s="77">
        <v>27</v>
      </c>
      <c r="AZ33" s="77">
        <v>30</v>
      </c>
      <c r="BA33" s="77">
        <v>33</v>
      </c>
      <c r="BB33" s="77" t="s">
        <v>23</v>
      </c>
      <c r="BC33" s="105" t="s">
        <v>23</v>
      </c>
      <c r="BD33" s="105" t="s">
        <v>23</v>
      </c>
      <c r="BE33" s="107">
        <f t="shared" si="4"/>
        <v>5</v>
      </c>
      <c r="BF33" s="107">
        <f t="shared" ref="BF33" si="55">BE33*2</f>
        <v>10</v>
      </c>
      <c r="BG33" s="107">
        <f t="shared" si="48"/>
        <v>62.5</v>
      </c>
      <c r="BH33" s="134">
        <f t="shared" si="25"/>
        <v>250</v>
      </c>
      <c r="BI33" s="135"/>
      <c r="BJ33" s="124">
        <f t="shared" ref="BJ33" si="56">IF(BG33&lt;=40,0,IF(BG33&lt;=60,5,IF(BG33&gt;=61,10)))</f>
        <v>10</v>
      </c>
      <c r="BK33" s="136"/>
      <c r="BL33" s="124">
        <f t="shared" si="5"/>
        <v>550</v>
      </c>
      <c r="BM33" s="136"/>
      <c r="BN33" s="124">
        <f t="shared" si="6"/>
        <v>20</v>
      </c>
      <c r="BO33" s="72"/>
      <c r="BP33" s="37"/>
      <c r="BQ33" s="13">
        <v>22</v>
      </c>
      <c r="BR33" s="109" t="s">
        <v>145</v>
      </c>
      <c r="BS33" s="107" t="s">
        <v>21</v>
      </c>
      <c r="BT33" s="141" t="s">
        <v>147</v>
      </c>
      <c r="BU33" s="16">
        <v>36</v>
      </c>
      <c r="BV33" s="16">
        <v>39</v>
      </c>
      <c r="BW33" s="16">
        <v>42</v>
      </c>
      <c r="BX33" s="16" t="s">
        <v>23</v>
      </c>
      <c r="BY33" s="13">
        <f t="shared" si="7"/>
        <v>3</v>
      </c>
      <c r="BZ33" s="13">
        <f t="shared" ref="BZ33" si="57">BY33*2</f>
        <v>6</v>
      </c>
      <c r="CA33" s="13">
        <f t="shared" si="28"/>
        <v>75</v>
      </c>
      <c r="CB33" s="21">
        <f t="shared" si="49"/>
        <v>150</v>
      </c>
      <c r="CC33" s="69"/>
      <c r="CD33" s="20">
        <f t="shared" ref="CD33" si="58">IF(CA33&lt;=40,0,IF(CA33&lt;=60,5,IF(CA33&gt;=61,10)))</f>
        <v>10</v>
      </c>
      <c r="CE33" s="70"/>
      <c r="CF33" s="20">
        <f t="shared" si="8"/>
        <v>550</v>
      </c>
      <c r="CG33" s="70"/>
      <c r="CH33" s="20"/>
      <c r="CI33" s="72"/>
      <c r="CJ33" s="37"/>
      <c r="CK33" s="13">
        <v>22</v>
      </c>
      <c r="CL33" s="109"/>
      <c r="CM33" s="107"/>
      <c r="CN33" s="109"/>
      <c r="CO33" s="77"/>
      <c r="CP33" s="77"/>
      <c r="CQ33" s="77"/>
      <c r="CR33" s="77"/>
      <c r="CS33" s="77"/>
      <c r="CT33" s="106"/>
      <c r="CU33" s="106"/>
      <c r="CV33" s="106"/>
      <c r="CW33" s="107">
        <f t="shared" si="9"/>
        <v>0</v>
      </c>
      <c r="CX33" s="107">
        <f t="shared" si="30"/>
        <v>0</v>
      </c>
      <c r="CY33" s="107">
        <f t="shared" si="31"/>
        <v>0</v>
      </c>
      <c r="CZ33" s="134">
        <f t="shared" si="32"/>
        <v>0</v>
      </c>
      <c r="DA33" s="135"/>
      <c r="DB33" s="124">
        <f t="shared" ref="DB33" si="59">IF(CY33&lt;=40,0,IF(CY33&lt;=60,5,IF(CY33&gt;=61,10)))</f>
        <v>0</v>
      </c>
      <c r="DC33" s="136"/>
      <c r="DD33" s="124">
        <f t="shared" si="34"/>
        <v>550</v>
      </c>
      <c r="DE33" s="136"/>
      <c r="DF33" s="124">
        <f t="shared" si="35"/>
        <v>0</v>
      </c>
      <c r="DG33" s="72"/>
      <c r="DH33" s="37"/>
      <c r="DI33" s="13">
        <v>22</v>
      </c>
      <c r="DJ33" s="109"/>
      <c r="DK33" s="107"/>
      <c r="DL33" s="109"/>
      <c r="DM33" s="77"/>
      <c r="DN33" s="77"/>
      <c r="DO33" s="77"/>
      <c r="DP33" s="77"/>
      <c r="DQ33" s="77"/>
      <c r="DR33" s="77"/>
      <c r="DS33" s="77"/>
      <c r="DT33" s="106"/>
      <c r="DU33" s="107">
        <f t="shared" si="10"/>
        <v>0</v>
      </c>
      <c r="DV33" s="107">
        <f t="shared" si="36"/>
        <v>0</v>
      </c>
      <c r="DW33" s="107">
        <f t="shared" si="37"/>
        <v>0</v>
      </c>
      <c r="DX33" s="134">
        <f t="shared" si="38"/>
        <v>0</v>
      </c>
      <c r="DY33" s="135"/>
      <c r="DZ33" s="124">
        <f t="shared" si="39"/>
        <v>0</v>
      </c>
      <c r="EA33" s="136"/>
      <c r="EB33" s="124">
        <f t="shared" si="40"/>
        <v>550</v>
      </c>
      <c r="EC33" s="136"/>
      <c r="ED33" s="124">
        <f t="shared" si="41"/>
        <v>0</v>
      </c>
      <c r="EE33" s="70"/>
      <c r="EF33" s="37"/>
      <c r="EG33" s="13">
        <v>22</v>
      </c>
      <c r="EH33" s="109" t="s">
        <v>280</v>
      </c>
      <c r="EI33" s="107" t="s">
        <v>263</v>
      </c>
      <c r="EJ33" s="109" t="s">
        <v>104</v>
      </c>
      <c r="EK33" s="77"/>
      <c r="EL33" s="77"/>
      <c r="EM33" s="77"/>
      <c r="EN33" s="105"/>
      <c r="EO33" s="105"/>
      <c r="EP33" s="105"/>
      <c r="EQ33" s="105"/>
      <c r="ER33" s="106"/>
      <c r="ES33" s="106"/>
      <c r="ET33" s="106"/>
      <c r="EU33" s="106"/>
      <c r="EV33" s="106"/>
      <c r="EW33" s="106"/>
      <c r="EX33" s="106"/>
      <c r="EY33" s="106"/>
      <c r="EZ33" s="106"/>
      <c r="FA33" s="107">
        <f t="shared" si="11"/>
        <v>0</v>
      </c>
      <c r="FB33" s="107">
        <f t="shared" si="42"/>
        <v>0</v>
      </c>
      <c r="FC33" s="107">
        <f t="shared" si="43"/>
        <v>0</v>
      </c>
      <c r="FD33" s="134">
        <f t="shared" si="44"/>
        <v>0</v>
      </c>
      <c r="FE33" s="135"/>
      <c r="FF33" s="124">
        <f t="shared" si="45"/>
        <v>0</v>
      </c>
      <c r="FG33" s="136"/>
      <c r="FH33" s="124">
        <f t="shared" si="12"/>
        <v>550</v>
      </c>
      <c r="FI33" s="136"/>
      <c r="FJ33" s="124">
        <f t="shared" si="13"/>
        <v>0</v>
      </c>
      <c r="FK33" s="136"/>
      <c r="FL33" s="139"/>
      <c r="FM33" s="138"/>
      <c r="FN33" s="107">
        <f t="shared" si="50"/>
        <v>0</v>
      </c>
      <c r="FO33" s="107">
        <f t="shared" si="46"/>
        <v>0</v>
      </c>
    </row>
    <row r="34" spans="1:186" ht="20.100000000000001" customHeight="1" x14ac:dyDescent="0.25">
      <c r="A34" s="29"/>
      <c r="B34" s="13"/>
      <c r="C34" s="13"/>
      <c r="D34" s="74"/>
      <c r="E34" s="38">
        <f>COUNT(E12:E33)</f>
        <v>17</v>
      </c>
      <c r="F34" s="38">
        <f t="shared" ref="F34:H34" si="60">COUNT(F12:F33)</f>
        <v>14</v>
      </c>
      <c r="G34" s="38">
        <f t="shared" si="60"/>
        <v>16</v>
      </c>
      <c r="H34" s="38">
        <f t="shared" si="60"/>
        <v>14</v>
      </c>
      <c r="I34" s="29"/>
      <c r="J34" s="29"/>
      <c r="K34" s="29"/>
      <c r="L34" s="31"/>
      <c r="M34" s="71"/>
      <c r="N34" s="33"/>
      <c r="O34" s="72"/>
      <c r="P34" s="33"/>
      <c r="Q34" s="72"/>
      <c r="R34" s="33"/>
      <c r="S34" s="72"/>
      <c r="T34" s="37"/>
      <c r="U34" s="29"/>
      <c r="V34" s="13"/>
      <c r="W34" s="13"/>
      <c r="X34" s="74"/>
      <c r="Y34" s="38">
        <f>COUNT(Y12:Y33)</f>
        <v>15</v>
      </c>
      <c r="Z34" s="38">
        <f t="shared" ref="Z34:AF34" si="61">COUNT(Z12:Z33)</f>
        <v>17</v>
      </c>
      <c r="AA34" s="38">
        <f t="shared" si="61"/>
        <v>16</v>
      </c>
      <c r="AB34" s="38">
        <f t="shared" si="61"/>
        <v>15</v>
      </c>
      <c r="AC34" s="38">
        <f t="shared" si="61"/>
        <v>15</v>
      </c>
      <c r="AD34" s="38">
        <f t="shared" si="61"/>
        <v>15</v>
      </c>
      <c r="AE34" s="38">
        <f t="shared" si="61"/>
        <v>15</v>
      </c>
      <c r="AF34" s="38">
        <f t="shared" si="61"/>
        <v>15</v>
      </c>
      <c r="AG34" s="29"/>
      <c r="AH34" s="29"/>
      <c r="AI34" s="29"/>
      <c r="AJ34" s="31"/>
      <c r="AK34" s="71"/>
      <c r="AL34" s="33"/>
      <c r="AM34" s="72"/>
      <c r="AN34" s="33"/>
      <c r="AO34" s="72"/>
      <c r="AP34" s="33"/>
      <c r="AQ34" s="72"/>
      <c r="AR34" s="37"/>
      <c r="AS34" s="29"/>
      <c r="AT34" s="13"/>
      <c r="AU34" s="13"/>
      <c r="AV34" s="75"/>
      <c r="AW34" s="38">
        <f>COUNT(AW12:AW33)</f>
        <v>14</v>
      </c>
      <c r="AX34" s="38">
        <f t="shared" ref="AX34:BD34" si="62">COUNT(AX12:AX33)</f>
        <v>15</v>
      </c>
      <c r="AY34" s="38">
        <f t="shared" si="62"/>
        <v>14</v>
      </c>
      <c r="AZ34" s="38">
        <f t="shared" si="62"/>
        <v>16</v>
      </c>
      <c r="BA34" s="38">
        <f t="shared" si="62"/>
        <v>14</v>
      </c>
      <c r="BB34" s="38">
        <f t="shared" si="62"/>
        <v>14</v>
      </c>
      <c r="BC34" s="38">
        <f t="shared" si="62"/>
        <v>15</v>
      </c>
      <c r="BD34" s="38">
        <f t="shared" si="62"/>
        <v>15</v>
      </c>
      <c r="BE34" s="29"/>
      <c r="BF34" s="29"/>
      <c r="BG34" s="29"/>
      <c r="BH34" s="31"/>
      <c r="BI34" s="71"/>
      <c r="BJ34" s="33"/>
      <c r="BK34" s="72"/>
      <c r="BL34" s="33"/>
      <c r="BM34" s="72"/>
      <c r="BN34" s="33"/>
      <c r="BO34" s="72"/>
      <c r="BP34" s="37"/>
      <c r="BQ34" s="29"/>
      <c r="BR34" s="13"/>
      <c r="BS34" s="13"/>
      <c r="BT34" s="75"/>
      <c r="BU34" s="38">
        <f>COUNT(BU12:BU33)</f>
        <v>14</v>
      </c>
      <c r="BV34" s="38">
        <f t="shared" ref="BV34:BX34" si="63">COUNT(BV12:BV33)</f>
        <v>15</v>
      </c>
      <c r="BW34" s="38">
        <f t="shared" si="63"/>
        <v>16</v>
      </c>
      <c r="BX34" s="38">
        <f t="shared" si="63"/>
        <v>14</v>
      </c>
      <c r="BY34" s="29"/>
      <c r="BZ34" s="29"/>
      <c r="CA34" s="29"/>
      <c r="CB34" s="31"/>
      <c r="CC34" s="71"/>
      <c r="CD34" s="33"/>
      <c r="CE34" s="72"/>
      <c r="CF34" s="20">
        <f t="shared" si="8"/>
        <v>0</v>
      </c>
      <c r="CG34" s="72"/>
      <c r="CH34" s="33"/>
      <c r="CI34" s="72"/>
      <c r="CJ34" s="37"/>
      <c r="CK34" s="29"/>
      <c r="CL34" s="13"/>
      <c r="CM34" s="13"/>
      <c r="CN34" s="74"/>
      <c r="CO34" s="38">
        <f>COUNT(CO12:CO33)</f>
        <v>0</v>
      </c>
      <c r="CP34" s="38">
        <f>COUNT(CP12:CP33)</f>
        <v>0</v>
      </c>
      <c r="CQ34" s="38">
        <f t="shared" ref="CQ34:CS34" si="64">COUNT(CQ12:CQ33)</f>
        <v>0</v>
      </c>
      <c r="CR34" s="38">
        <f t="shared" si="64"/>
        <v>0</v>
      </c>
      <c r="CS34" s="38">
        <f t="shared" si="64"/>
        <v>0</v>
      </c>
      <c r="CT34" s="29"/>
      <c r="CU34" s="56"/>
      <c r="CV34" s="56"/>
      <c r="CW34" s="29"/>
      <c r="CX34" s="29"/>
      <c r="CY34" s="29"/>
      <c r="CZ34" s="31"/>
      <c r="DA34" s="71"/>
      <c r="DB34" s="33"/>
      <c r="DC34" s="72"/>
      <c r="DD34" s="33"/>
      <c r="DE34" s="72"/>
      <c r="DF34" s="33"/>
      <c r="DG34" s="72"/>
      <c r="DH34" s="37"/>
      <c r="DI34" s="29"/>
      <c r="DJ34" s="13"/>
      <c r="DK34" s="13"/>
      <c r="DL34" s="74"/>
      <c r="DM34" s="38">
        <f>COUNT(DM12:DM33)</f>
        <v>0</v>
      </c>
      <c r="DN34" s="38">
        <f t="shared" ref="DN34:DS34" si="65">COUNT(DN12:DN33)</f>
        <v>0</v>
      </c>
      <c r="DO34" s="38">
        <f t="shared" si="65"/>
        <v>0</v>
      </c>
      <c r="DP34" s="38">
        <f>COUNT(DP12:DP33)</f>
        <v>0</v>
      </c>
      <c r="DQ34" s="38">
        <f t="shared" si="65"/>
        <v>0</v>
      </c>
      <c r="DR34" s="38">
        <f t="shared" si="65"/>
        <v>0</v>
      </c>
      <c r="DS34" s="38">
        <f t="shared" si="65"/>
        <v>0</v>
      </c>
      <c r="DT34" s="29"/>
      <c r="DU34" s="29"/>
      <c r="DV34" s="29"/>
      <c r="DW34" s="29"/>
      <c r="DX34" s="31"/>
      <c r="DY34" s="71"/>
      <c r="DZ34" s="33"/>
      <c r="EA34" s="72"/>
      <c r="EB34" s="33"/>
      <c r="EC34" s="72"/>
      <c r="ED34" s="33"/>
      <c r="EE34" s="72"/>
      <c r="EF34" s="37"/>
      <c r="EG34" s="29"/>
      <c r="EH34" s="13"/>
      <c r="EI34" s="13"/>
      <c r="EJ34" s="74"/>
      <c r="EK34" s="38">
        <f>COUNT(EK12:EK33)</f>
        <v>0</v>
      </c>
      <c r="EL34" s="38">
        <f t="shared" ref="EL34" si="66">COUNT(EL12:EL33)</f>
        <v>0</v>
      </c>
      <c r="EM34" s="38">
        <f>COUNT(EM12:EM33)</f>
        <v>0</v>
      </c>
      <c r="EN34" s="38">
        <f>COUNT(EN12:EN33)</f>
        <v>0</v>
      </c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31"/>
      <c r="FE34" s="71"/>
      <c r="FF34" s="33"/>
      <c r="FG34" s="72"/>
      <c r="FH34" s="33"/>
      <c r="FI34" s="72"/>
      <c r="FJ34" s="33"/>
      <c r="FK34" s="72"/>
      <c r="FL34" s="37"/>
      <c r="FM34" s="26"/>
      <c r="FN34" s="26"/>
      <c r="FO34" s="26"/>
    </row>
    <row r="35" spans="1:186" ht="20.100000000000001" customHeight="1" x14ac:dyDescent="0.25">
      <c r="A35" s="13"/>
      <c r="B35" s="13"/>
      <c r="C35" s="68"/>
      <c r="D35" s="22"/>
      <c r="E35" s="39">
        <f>E34*50</f>
        <v>850</v>
      </c>
      <c r="F35" s="39">
        <f t="shared" ref="F35:H35" si="67">F34*50</f>
        <v>700</v>
      </c>
      <c r="G35" s="39">
        <f t="shared" si="67"/>
        <v>800</v>
      </c>
      <c r="H35" s="39">
        <f t="shared" si="67"/>
        <v>700</v>
      </c>
      <c r="I35" s="13"/>
      <c r="J35" s="13"/>
      <c r="K35" s="13"/>
      <c r="L35" s="35"/>
      <c r="M35" s="22"/>
      <c r="N35" s="22"/>
      <c r="O35" s="22"/>
      <c r="P35" s="22"/>
      <c r="Q35" s="22"/>
      <c r="R35" s="22"/>
      <c r="S35" s="22"/>
      <c r="T35" s="22"/>
      <c r="U35" s="13"/>
      <c r="V35" s="13"/>
      <c r="W35" s="13"/>
      <c r="X35" s="22"/>
      <c r="Y35" s="39">
        <f>Y34*50</f>
        <v>750</v>
      </c>
      <c r="Z35" s="39">
        <f t="shared" ref="Z35:AF35" si="68">Z34*50</f>
        <v>850</v>
      </c>
      <c r="AA35" s="39">
        <f t="shared" si="68"/>
        <v>800</v>
      </c>
      <c r="AB35" s="39">
        <f t="shared" si="68"/>
        <v>750</v>
      </c>
      <c r="AC35" s="39">
        <f t="shared" si="68"/>
        <v>750</v>
      </c>
      <c r="AD35" s="39">
        <f t="shared" si="68"/>
        <v>750</v>
      </c>
      <c r="AE35" s="39">
        <f t="shared" si="68"/>
        <v>750</v>
      </c>
      <c r="AF35" s="39">
        <f t="shared" si="68"/>
        <v>750</v>
      </c>
      <c r="AG35" s="13"/>
      <c r="AH35" s="13"/>
      <c r="AI35" s="13"/>
      <c r="AJ35" s="35"/>
      <c r="AK35" s="22"/>
      <c r="AL35" s="22"/>
      <c r="AM35" s="22"/>
      <c r="AN35" s="22"/>
      <c r="AO35" s="22"/>
      <c r="AP35" s="22"/>
      <c r="AQ35" s="22"/>
      <c r="AR35" s="22"/>
      <c r="AS35" s="13"/>
      <c r="AT35" s="13"/>
      <c r="AU35" s="13"/>
      <c r="AV35" s="22"/>
      <c r="AW35" s="39">
        <f>AW34*50</f>
        <v>700</v>
      </c>
      <c r="AX35" s="39">
        <f t="shared" ref="AX35:BD35" si="69">AX34*50</f>
        <v>750</v>
      </c>
      <c r="AY35" s="39">
        <f t="shared" si="69"/>
        <v>700</v>
      </c>
      <c r="AZ35" s="39">
        <f t="shared" si="69"/>
        <v>800</v>
      </c>
      <c r="BA35" s="39">
        <f t="shared" si="69"/>
        <v>700</v>
      </c>
      <c r="BB35" s="39">
        <f t="shared" si="69"/>
        <v>700</v>
      </c>
      <c r="BC35" s="39">
        <f t="shared" si="69"/>
        <v>750</v>
      </c>
      <c r="BD35" s="39">
        <f t="shared" si="69"/>
        <v>750</v>
      </c>
      <c r="BE35" s="13"/>
      <c r="BF35" s="13"/>
      <c r="BG35" s="13"/>
      <c r="BH35" s="35"/>
      <c r="BI35" s="22"/>
      <c r="BJ35" s="22"/>
      <c r="BK35" s="22"/>
      <c r="BL35" s="22"/>
      <c r="BM35" s="22"/>
      <c r="BN35" s="22"/>
      <c r="BO35" s="22"/>
      <c r="BP35" s="22"/>
      <c r="BQ35" s="13"/>
      <c r="BR35" s="13"/>
      <c r="BS35" s="13"/>
      <c r="BT35" s="22"/>
      <c r="BU35" s="39">
        <f>BU34*20</f>
        <v>280</v>
      </c>
      <c r="BV35" s="39">
        <f t="shared" ref="BV35:BX35" si="70">BV34*20</f>
        <v>300</v>
      </c>
      <c r="BW35" s="39">
        <f t="shared" si="70"/>
        <v>320</v>
      </c>
      <c r="BX35" s="39">
        <f t="shared" si="70"/>
        <v>280</v>
      </c>
      <c r="BY35" s="13"/>
      <c r="BZ35" s="13"/>
      <c r="CA35" s="13"/>
      <c r="CB35" s="35"/>
      <c r="CC35" s="22"/>
      <c r="CD35" s="22"/>
      <c r="CE35" s="22"/>
      <c r="CF35" s="20">
        <f t="shared" si="8"/>
        <v>0</v>
      </c>
      <c r="CG35" s="22"/>
      <c r="CH35" s="22"/>
      <c r="CI35" s="22"/>
      <c r="CJ35" s="22"/>
      <c r="CK35" s="13"/>
      <c r="CL35" s="13"/>
      <c r="CM35" s="13"/>
      <c r="CN35" s="22"/>
      <c r="CO35" s="39">
        <f>CO34*50</f>
        <v>0</v>
      </c>
      <c r="CP35" s="39">
        <f t="shared" ref="CP35:CS35" si="71">CP34*50</f>
        <v>0</v>
      </c>
      <c r="CQ35" s="39">
        <f t="shared" si="71"/>
        <v>0</v>
      </c>
      <c r="CR35" s="39">
        <f t="shared" si="71"/>
        <v>0</v>
      </c>
      <c r="CS35" s="39">
        <f t="shared" si="71"/>
        <v>0</v>
      </c>
      <c r="CT35" s="13"/>
      <c r="CU35" s="55"/>
      <c r="CV35" s="55"/>
      <c r="CW35" s="13"/>
      <c r="CX35" s="13"/>
      <c r="CY35" s="13"/>
      <c r="CZ35" s="35"/>
      <c r="DA35" s="22"/>
      <c r="DB35" s="22"/>
      <c r="DC35" s="22"/>
      <c r="DD35" s="22"/>
      <c r="DE35" s="22"/>
      <c r="DF35" s="22"/>
      <c r="DG35" s="22"/>
      <c r="DH35" s="22"/>
      <c r="DI35" s="13"/>
      <c r="DJ35" s="13"/>
      <c r="DK35" s="13"/>
      <c r="DL35" s="22"/>
      <c r="DM35" s="39">
        <f>DM34*50</f>
        <v>0</v>
      </c>
      <c r="DN35" s="39">
        <f t="shared" ref="DN35:DR35" si="72">DN34*50</f>
        <v>0</v>
      </c>
      <c r="DO35" s="39">
        <f t="shared" si="72"/>
        <v>0</v>
      </c>
      <c r="DP35" s="39">
        <f t="shared" si="72"/>
        <v>0</v>
      </c>
      <c r="DQ35" s="39">
        <f t="shared" si="72"/>
        <v>0</v>
      </c>
      <c r="DR35" s="39">
        <f t="shared" si="72"/>
        <v>0</v>
      </c>
      <c r="DS35" s="39">
        <f t="shared" ref="DS35" si="73">DS34*20</f>
        <v>0</v>
      </c>
      <c r="DT35" s="13"/>
      <c r="DU35" s="13"/>
      <c r="DV35" s="13"/>
      <c r="DW35" s="13"/>
      <c r="DX35" s="35"/>
      <c r="DY35" s="22"/>
      <c r="DZ35" s="22"/>
      <c r="EA35" s="22"/>
      <c r="EB35" s="22"/>
      <c r="EC35" s="22"/>
      <c r="ED35" s="22"/>
      <c r="EE35" s="22"/>
      <c r="EF35" s="22"/>
      <c r="EG35" s="13"/>
      <c r="EH35" s="13"/>
      <c r="EI35" s="13"/>
      <c r="EJ35" s="22"/>
      <c r="EK35" s="39">
        <f>EK34*50</f>
        <v>0</v>
      </c>
      <c r="EL35" s="39">
        <f t="shared" ref="EL35:EN35" si="74">EL34*50</f>
        <v>0</v>
      </c>
      <c r="EM35" s="39">
        <f t="shared" si="74"/>
        <v>0</v>
      </c>
      <c r="EN35" s="39">
        <f t="shared" si="74"/>
        <v>0</v>
      </c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35"/>
      <c r="FE35" s="22"/>
      <c r="FF35" s="22"/>
      <c r="FG35" s="22"/>
      <c r="FH35" s="95">
        <f>SUM(FH12:FH33)</f>
        <v>15050</v>
      </c>
      <c r="FI35" s="22"/>
      <c r="FJ35" s="22"/>
      <c r="FK35" s="22"/>
      <c r="FL35" s="22"/>
      <c r="FM35" s="26"/>
      <c r="FN35" s="26" t="s">
        <v>62</v>
      </c>
      <c r="FO35" s="23">
        <f>SUM(FJ12:FJ33)</f>
        <v>0</v>
      </c>
    </row>
    <row r="36" spans="1:186" s="1" customFormat="1" ht="20.100000000000001" customHeight="1" x14ac:dyDescent="0.25">
      <c r="A36" s="48"/>
      <c r="B36" s="23"/>
      <c r="C36" s="48"/>
      <c r="D36" s="26"/>
      <c r="E36" s="23"/>
      <c r="F36" s="23"/>
      <c r="G36" s="23"/>
      <c r="H36" s="23"/>
      <c r="I36" s="23"/>
      <c r="J36" s="23"/>
      <c r="K36" s="23"/>
      <c r="L36" s="25"/>
      <c r="M36"/>
      <c r="N36" s="26"/>
      <c r="O36"/>
      <c r="P36" s="26"/>
      <c r="Q36"/>
      <c r="R36" s="26"/>
      <c r="S36"/>
      <c r="T36"/>
      <c r="U36" s="48"/>
      <c r="V36" s="23"/>
      <c r="W36" s="48"/>
      <c r="X36" s="26"/>
      <c r="Y36" s="23"/>
      <c r="Z36" s="23"/>
      <c r="AA36" s="23"/>
      <c r="AB36" s="23"/>
      <c r="AC36" s="23"/>
      <c r="AD36" s="23"/>
      <c r="AE36"/>
      <c r="AF36"/>
      <c r="AG36" s="23"/>
      <c r="AH36" s="23"/>
      <c r="AI36" s="23"/>
      <c r="AJ36" s="25"/>
      <c r="AK36"/>
      <c r="AL36" s="26"/>
      <c r="AM36"/>
      <c r="AN36" s="26"/>
      <c r="AO36"/>
      <c r="AP36" s="26"/>
      <c r="AQ36"/>
      <c r="AR36"/>
      <c r="AS36" s="48"/>
      <c r="AT36" s="23"/>
      <c r="AU36" s="48"/>
      <c r="AV36" s="26"/>
      <c r="AW36" s="23"/>
      <c r="AX36" s="23"/>
      <c r="AY36" s="23"/>
      <c r="AZ36" s="23"/>
      <c r="BA36" s="23"/>
      <c r="BB36" s="23"/>
      <c r="BC36"/>
      <c r="BD36"/>
      <c r="BE36" s="23"/>
      <c r="BF36" s="23"/>
      <c r="BG36" s="23"/>
      <c r="BH36" s="25"/>
      <c r="BI36"/>
      <c r="BJ36" s="26"/>
      <c r="BK36"/>
      <c r="BL36" s="26"/>
      <c r="BM36"/>
      <c r="BN36" s="26"/>
      <c r="BO36"/>
      <c r="BP36"/>
      <c r="BQ36" s="48"/>
      <c r="BR36" s="23"/>
      <c r="BS36" s="48"/>
      <c r="BT36" s="26"/>
      <c r="BU36" s="26"/>
      <c r="BV36" s="23"/>
      <c r="BW36" s="23"/>
      <c r="BX36" s="23"/>
      <c r="BY36" s="23"/>
      <c r="BZ36" s="23"/>
      <c r="CA36" s="23"/>
      <c r="CB36" s="25"/>
      <c r="CC36"/>
      <c r="CD36" s="26"/>
      <c r="CE36"/>
      <c r="CF36" s="26"/>
      <c r="CG36"/>
      <c r="CH36" s="26"/>
      <c r="CI36"/>
      <c r="CJ36"/>
      <c r="CK36" s="48"/>
      <c r="CL36" s="23"/>
      <c r="CM36" s="48"/>
      <c r="CN36" s="26"/>
      <c r="CO36" s="23"/>
      <c r="CP36" s="23"/>
      <c r="CQ36" s="23"/>
      <c r="CR36" s="23"/>
      <c r="CS36" s="23"/>
      <c r="CT36" s="23"/>
      <c r="CU36"/>
      <c r="CV36"/>
      <c r="CW36" s="23"/>
      <c r="CX36" s="23"/>
      <c r="CY36" s="25"/>
      <c r="CZ36"/>
      <c r="DA36" s="26"/>
      <c r="DB36"/>
      <c r="DC36" s="26"/>
      <c r="DD36"/>
      <c r="DE36" s="26"/>
      <c r="DF36"/>
      <c r="DG36"/>
      <c r="DH36" s="48"/>
      <c r="DI36" s="23"/>
      <c r="DJ36" s="48"/>
      <c r="DK36" s="26"/>
      <c r="DL36" s="23"/>
      <c r="DM36" s="23"/>
      <c r="DN36" s="23"/>
      <c r="DO36" s="23"/>
      <c r="DP36" s="23"/>
      <c r="DQ36" s="23"/>
      <c r="DR36"/>
      <c r="DS36"/>
      <c r="DT36" s="23"/>
      <c r="DU36" s="23"/>
      <c r="DV36" s="23"/>
      <c r="DW36" s="25"/>
      <c r="DX36"/>
      <c r="DY36" s="26"/>
      <c r="DZ36"/>
      <c r="EA36" s="26"/>
      <c r="EB36"/>
      <c r="EC36" s="2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</row>
    <row r="37" spans="1:186" ht="20.100000000000001" customHeight="1" x14ac:dyDescent="0.25">
      <c r="A37" s="48"/>
      <c r="B37" s="23"/>
      <c r="C37" s="48"/>
      <c r="D37" s="26"/>
      <c r="E37" s="23"/>
      <c r="F37" s="23"/>
      <c r="G37" s="23">
        <f>SUM(E34:H34)</f>
        <v>61</v>
      </c>
      <c r="H37" s="23"/>
      <c r="I37" s="23"/>
      <c r="J37" s="23"/>
      <c r="K37" s="23"/>
      <c r="L37" s="25"/>
      <c r="N37" s="26"/>
      <c r="P37" s="26"/>
      <c r="R37" s="26"/>
      <c r="U37" s="48"/>
      <c r="V37" s="23"/>
      <c r="W37" s="48"/>
      <c r="X37" s="26"/>
      <c r="Y37" s="23"/>
      <c r="Z37" s="23"/>
      <c r="AA37" s="23"/>
      <c r="AB37" s="23"/>
      <c r="AC37" s="23"/>
      <c r="AD37" s="23"/>
      <c r="AF37">
        <f>SUM(Y34:AF34)</f>
        <v>123</v>
      </c>
      <c r="AG37" s="23"/>
      <c r="AH37" s="23"/>
      <c r="AI37" s="23"/>
      <c r="AJ37" s="25"/>
      <c r="AL37" s="26"/>
      <c r="AN37" s="26"/>
      <c r="AP37" s="26"/>
      <c r="AQ37" s="2"/>
      <c r="AS37" s="48"/>
      <c r="AT37" s="23"/>
      <c r="AU37" s="48"/>
      <c r="AV37" s="26"/>
      <c r="AW37" s="23"/>
      <c r="AX37" s="23"/>
      <c r="AY37" s="23"/>
      <c r="AZ37" s="23"/>
      <c r="BA37" s="23"/>
      <c r="BB37" s="23"/>
      <c r="BD37">
        <f>SUM(AW34:BD34)</f>
        <v>117</v>
      </c>
      <c r="BE37" s="23"/>
      <c r="BF37" s="23"/>
      <c r="BG37" s="23"/>
      <c r="BH37" s="25"/>
      <c r="BJ37" s="26"/>
      <c r="BL37" s="26"/>
      <c r="BN37" s="26"/>
      <c r="BQ37" s="48"/>
      <c r="BR37" s="23"/>
      <c r="BS37" s="48"/>
      <c r="BT37" s="26"/>
      <c r="BU37" s="26"/>
      <c r="BV37" s="23"/>
      <c r="BW37" s="23">
        <f>SUM(BU34:BX34)</f>
        <v>59</v>
      </c>
      <c r="BX37" s="23"/>
      <c r="BY37" s="23"/>
      <c r="BZ37" s="23"/>
      <c r="CA37" s="23"/>
      <c r="CB37" s="25"/>
      <c r="CD37" s="26"/>
      <c r="CF37" s="26"/>
      <c r="CH37" s="26"/>
      <c r="CK37" s="48"/>
      <c r="CL37" s="23"/>
      <c r="CM37" s="48"/>
      <c r="CN37" s="26"/>
      <c r="CO37" s="23"/>
      <c r="CP37" s="23"/>
      <c r="CQ37" s="23"/>
      <c r="CR37" s="23"/>
      <c r="CS37" s="23"/>
      <c r="CT37" s="23"/>
      <c r="CW37" s="23"/>
      <c r="CX37" s="23"/>
      <c r="CY37" s="25"/>
      <c r="DA37" s="26"/>
      <c r="DC37" s="26"/>
      <c r="DE37" s="26"/>
      <c r="DH37" s="48"/>
      <c r="DI37" s="23"/>
      <c r="DJ37" s="48"/>
      <c r="DK37" s="26"/>
      <c r="DL37" s="23"/>
      <c r="DM37" s="23"/>
      <c r="DN37" s="23"/>
      <c r="DO37" s="23"/>
      <c r="DP37" s="23"/>
      <c r="DQ37" s="23"/>
      <c r="DT37" s="23"/>
      <c r="DU37" s="23"/>
      <c r="DV37" s="23"/>
      <c r="DW37" s="25"/>
      <c r="DY37" s="26"/>
      <c r="EA37" s="26"/>
      <c r="EC37" s="26"/>
    </row>
    <row r="38" spans="1:186" ht="20.100000000000001" customHeight="1" x14ac:dyDescent="0.25">
      <c r="A38" s="48"/>
      <c r="B38" s="23"/>
      <c r="C38" s="48"/>
      <c r="D38" s="26"/>
      <c r="E38" s="23"/>
      <c r="F38" s="23"/>
      <c r="G38" s="23">
        <f>G37*50</f>
        <v>3050</v>
      </c>
      <c r="H38" s="23"/>
      <c r="I38" s="23"/>
      <c r="J38" s="23"/>
      <c r="K38" s="23"/>
      <c r="L38" s="25"/>
      <c r="N38" s="26"/>
      <c r="P38" s="26"/>
      <c r="R38" s="26"/>
      <c r="U38" s="48"/>
      <c r="V38" s="23"/>
      <c r="W38" s="48"/>
      <c r="X38" s="26"/>
      <c r="Y38" s="23"/>
      <c r="Z38" s="23"/>
      <c r="AA38" s="23"/>
      <c r="AB38" s="23"/>
      <c r="AC38" s="23"/>
      <c r="AD38" s="23"/>
      <c r="AF38">
        <f>AF37*50</f>
        <v>6150</v>
      </c>
      <c r="AG38" s="23"/>
      <c r="AH38" s="23"/>
      <c r="AI38" s="23"/>
      <c r="AJ38" s="25"/>
      <c r="AL38" s="26"/>
      <c r="AN38" s="26"/>
      <c r="AP38" s="26"/>
      <c r="AS38" s="48"/>
      <c r="AT38" s="23"/>
      <c r="AU38" s="48"/>
      <c r="AV38" s="26"/>
      <c r="AW38" s="23"/>
      <c r="AX38" s="23"/>
      <c r="AY38" s="23"/>
      <c r="AZ38" s="23"/>
      <c r="BA38" s="23"/>
      <c r="BB38" s="23"/>
      <c r="BD38">
        <f>BD37*50</f>
        <v>5850</v>
      </c>
      <c r="BE38" s="23"/>
      <c r="BF38" s="23"/>
      <c r="BG38" s="23"/>
      <c r="BH38" s="25"/>
      <c r="BJ38" s="26"/>
      <c r="BL38" s="26"/>
      <c r="BN38" s="26"/>
      <c r="BQ38" s="48"/>
      <c r="BR38" s="23"/>
      <c r="BS38" s="48"/>
      <c r="BT38" s="26"/>
      <c r="BU38" s="26"/>
      <c r="BV38" s="23"/>
      <c r="BW38" s="23">
        <f>BW37*50</f>
        <v>2950</v>
      </c>
      <c r="BX38" s="23"/>
      <c r="BY38" s="23"/>
      <c r="BZ38" s="23"/>
      <c r="CA38" s="23"/>
      <c r="CB38" s="25"/>
      <c r="CD38" s="26"/>
      <c r="CF38" s="26"/>
      <c r="CH38" s="26"/>
      <c r="CK38" s="48"/>
      <c r="CL38" s="23"/>
      <c r="CM38" s="48"/>
      <c r="CN38" s="26"/>
      <c r="CO38" s="23"/>
      <c r="CP38" s="23"/>
      <c r="CQ38" s="23"/>
      <c r="CR38" s="23"/>
      <c r="CS38" s="23"/>
      <c r="CT38" s="23"/>
      <c r="CW38" s="23"/>
      <c r="CX38" s="23"/>
      <c r="CY38" s="25"/>
      <c r="DA38" s="26"/>
      <c r="DC38" s="26"/>
      <c r="DE38" s="26"/>
      <c r="DH38" s="48"/>
      <c r="DI38" s="23"/>
      <c r="DJ38" s="48"/>
      <c r="DK38" s="26"/>
      <c r="DL38" s="23"/>
      <c r="DM38" s="23"/>
      <c r="DN38" s="23"/>
      <c r="DO38" s="23"/>
      <c r="DP38" s="23"/>
      <c r="DQ38" s="23"/>
      <c r="DT38" s="23"/>
      <c r="DU38" s="23"/>
      <c r="DV38" s="23"/>
      <c r="DW38" s="25"/>
      <c r="DY38" s="26"/>
      <c r="EA38" s="26"/>
      <c r="EC38" s="26"/>
    </row>
    <row r="39" spans="1:186" ht="20.100000000000001" customHeight="1" x14ac:dyDescent="0.25">
      <c r="A39" s="48"/>
      <c r="B39" s="23"/>
      <c r="C39" s="48"/>
      <c r="D39" s="26"/>
      <c r="E39" s="23"/>
      <c r="F39" s="23"/>
      <c r="G39" s="23"/>
      <c r="H39" s="23"/>
      <c r="I39" s="23"/>
      <c r="J39" s="23"/>
      <c r="K39" s="23"/>
      <c r="L39" s="25"/>
      <c r="N39" s="26"/>
      <c r="P39" s="26"/>
      <c r="R39" s="26"/>
      <c r="U39" s="48"/>
      <c r="V39" s="23"/>
      <c r="W39" s="48"/>
      <c r="X39" s="26"/>
      <c r="Y39" s="23"/>
      <c r="Z39" s="23"/>
      <c r="AA39" s="23"/>
      <c r="AB39" s="23"/>
      <c r="AC39" s="23"/>
      <c r="AD39" s="23"/>
      <c r="AG39" s="23"/>
      <c r="AH39" s="23"/>
      <c r="AI39" s="23"/>
      <c r="AJ39" s="25"/>
      <c r="AL39" s="26"/>
      <c r="AN39" s="26"/>
      <c r="AP39" s="26"/>
      <c r="AS39" s="48"/>
      <c r="AT39" s="23"/>
      <c r="AU39" s="48"/>
      <c r="AV39" s="26"/>
      <c r="AW39" s="23"/>
      <c r="AX39" s="23"/>
      <c r="AY39" s="23"/>
      <c r="AZ39" s="23"/>
      <c r="BA39" s="23"/>
      <c r="BB39" s="23"/>
      <c r="BE39" s="23"/>
      <c r="BF39" s="23"/>
      <c r="BG39" s="23"/>
      <c r="BH39" s="25"/>
      <c r="BJ39" s="26"/>
      <c r="BL39" s="26"/>
      <c r="BN39" s="26"/>
      <c r="BQ39" s="48"/>
      <c r="BR39" s="23"/>
      <c r="BS39" s="48"/>
      <c r="BT39" s="26"/>
      <c r="BU39" s="26"/>
      <c r="BV39" s="23"/>
      <c r="BW39" s="23"/>
      <c r="BX39" s="23"/>
      <c r="BY39" s="23"/>
      <c r="BZ39" s="23"/>
      <c r="CA39" s="23"/>
      <c r="CB39" s="25"/>
      <c r="CD39" s="26"/>
      <c r="CF39" s="26"/>
      <c r="CH39" s="26"/>
      <c r="CK39" s="48"/>
      <c r="CL39" s="23"/>
      <c r="CM39" s="48"/>
      <c r="CN39" s="26"/>
      <c r="CO39" s="23"/>
      <c r="CP39" s="23"/>
      <c r="CQ39" s="23"/>
      <c r="CR39" s="23"/>
      <c r="CS39" s="23"/>
      <c r="CT39" s="23"/>
      <c r="CW39" s="23"/>
      <c r="CX39" s="23"/>
      <c r="CY39" s="25"/>
      <c r="DA39" s="26"/>
      <c r="DC39" s="26"/>
      <c r="DE39" s="26"/>
      <c r="DH39" s="48"/>
      <c r="DI39" s="23"/>
      <c r="DJ39" s="48"/>
      <c r="DK39" s="26"/>
      <c r="DL39" s="23"/>
      <c r="DM39" s="23"/>
      <c r="DN39" s="23"/>
      <c r="DO39" s="23"/>
      <c r="DP39" s="23"/>
      <c r="DQ39" s="23"/>
      <c r="DT39" s="23"/>
      <c r="DU39" s="23"/>
      <c r="DV39" s="23"/>
      <c r="DW39" s="25"/>
      <c r="DY39" s="26"/>
      <c r="EA39" s="26"/>
      <c r="EC39" s="26"/>
    </row>
    <row r="40" spans="1:186" ht="20.100000000000001" customHeight="1" x14ac:dyDescent="0.25">
      <c r="A40" s="48"/>
      <c r="B40" s="23"/>
      <c r="C40" s="48"/>
      <c r="D40" s="26"/>
      <c r="E40" s="23"/>
      <c r="F40" s="23"/>
      <c r="G40" s="23"/>
      <c r="H40" s="23"/>
      <c r="I40" s="23"/>
      <c r="J40" s="23"/>
      <c r="K40" s="23"/>
      <c r="L40" s="25"/>
      <c r="N40" s="26"/>
      <c r="P40" s="26"/>
      <c r="R40" s="26"/>
      <c r="U40" s="48"/>
      <c r="V40" s="23"/>
      <c r="W40" s="48"/>
      <c r="X40" s="26"/>
      <c r="Y40" s="23"/>
      <c r="Z40" s="23"/>
      <c r="AA40" s="23"/>
      <c r="AB40" s="23"/>
      <c r="AC40" s="23"/>
      <c r="AD40" s="23"/>
      <c r="AG40" s="23"/>
      <c r="AH40" s="23"/>
      <c r="AI40" s="23"/>
      <c r="AJ40" s="25"/>
      <c r="AL40" s="26"/>
      <c r="AN40" s="26"/>
      <c r="AP40" s="26"/>
      <c r="AS40" s="48"/>
      <c r="AT40" s="23"/>
      <c r="AU40" s="48"/>
      <c r="AV40" s="26"/>
      <c r="AW40" s="23"/>
      <c r="AX40" s="23"/>
      <c r="AY40" s="23"/>
      <c r="AZ40" s="23"/>
      <c r="BA40" s="23"/>
      <c r="BB40" s="23"/>
      <c r="BE40" s="23"/>
      <c r="BF40" s="23"/>
      <c r="BG40" s="23"/>
      <c r="BH40" s="25"/>
      <c r="BJ40" s="26"/>
      <c r="BL40" s="26"/>
      <c r="BN40" s="26"/>
      <c r="BQ40" s="48"/>
      <c r="BR40" s="23"/>
      <c r="BS40" s="48"/>
      <c r="BT40" s="26"/>
      <c r="BU40" s="26"/>
      <c r="BV40" s="23"/>
      <c r="BW40" s="23"/>
      <c r="BX40" s="23"/>
      <c r="BY40" s="23"/>
      <c r="BZ40" s="23"/>
      <c r="CA40" s="23"/>
      <c r="CB40" s="25"/>
      <c r="CD40" s="26"/>
      <c r="CF40" s="26"/>
      <c r="CH40" s="26"/>
      <c r="CK40" s="48"/>
      <c r="CL40" s="23"/>
      <c r="CM40" s="48"/>
      <c r="CN40" s="26"/>
      <c r="CO40" s="23"/>
      <c r="CP40" s="23"/>
      <c r="CQ40" s="23"/>
      <c r="CR40" s="23"/>
      <c r="CS40" s="23"/>
      <c r="CT40" s="23"/>
      <c r="CW40" s="23"/>
      <c r="CX40" s="23"/>
      <c r="CY40" s="25"/>
      <c r="DA40" s="26"/>
      <c r="DC40" s="26"/>
      <c r="DE40" s="26"/>
      <c r="DH40" s="48"/>
      <c r="DI40" s="23"/>
      <c r="DJ40" s="48"/>
      <c r="DK40" s="26"/>
      <c r="DL40" s="23"/>
      <c r="DM40" s="23"/>
      <c r="DN40" s="23"/>
      <c r="DO40" s="23"/>
      <c r="DP40" s="23"/>
      <c r="DQ40" s="23"/>
      <c r="DT40" s="23"/>
      <c r="DU40" s="23"/>
      <c r="DV40" s="23"/>
      <c r="DW40" s="25"/>
      <c r="DY40" s="26"/>
      <c r="EA40" s="26"/>
      <c r="EC40" s="26"/>
    </row>
    <row r="41" spans="1:186" ht="20.100000000000001" customHeight="1" x14ac:dyDescent="0.25">
      <c r="A41" s="48"/>
      <c r="B41" s="23"/>
      <c r="C41" s="48"/>
      <c r="D41" s="26"/>
      <c r="E41" s="23"/>
      <c r="F41" s="23"/>
      <c r="G41" s="23"/>
      <c r="H41" s="23"/>
      <c r="I41" s="23"/>
      <c r="J41" s="23"/>
      <c r="K41" s="23"/>
      <c r="L41" s="25"/>
      <c r="N41" s="26"/>
      <c r="P41" s="26"/>
      <c r="R41" s="26"/>
      <c r="U41" s="48"/>
      <c r="V41" s="23"/>
      <c r="W41" s="48"/>
      <c r="X41" s="26"/>
      <c r="Y41" s="23"/>
      <c r="Z41" s="23"/>
      <c r="AA41" s="23"/>
      <c r="AB41" s="23"/>
      <c r="AC41" s="23"/>
      <c r="AD41" s="23"/>
      <c r="AG41" s="23"/>
      <c r="AH41" s="23"/>
      <c r="AI41" s="23"/>
      <c r="AJ41" s="25"/>
      <c r="AL41" s="26"/>
      <c r="AN41" s="26"/>
      <c r="AP41" s="26"/>
      <c r="AS41" s="48"/>
      <c r="AT41" s="23"/>
      <c r="AU41" s="48"/>
      <c r="AV41" s="26"/>
      <c r="AW41" s="23"/>
      <c r="AX41" s="23"/>
      <c r="AY41" s="23"/>
      <c r="AZ41" s="23"/>
      <c r="BA41" s="23"/>
      <c r="BB41" s="23"/>
      <c r="BE41" s="23"/>
      <c r="BF41" s="23"/>
      <c r="BG41" s="23"/>
      <c r="BH41" s="25"/>
      <c r="BJ41" s="26"/>
      <c r="BL41" s="26"/>
      <c r="BN41" s="26"/>
      <c r="BQ41" s="48"/>
      <c r="BR41" s="23"/>
      <c r="BS41" s="48"/>
      <c r="BT41" s="26"/>
      <c r="BU41" s="26"/>
      <c r="BV41" s="23"/>
      <c r="BW41" s="23"/>
      <c r="BX41" s="23"/>
      <c r="BY41" s="23"/>
      <c r="BZ41" s="23"/>
      <c r="CA41" s="23"/>
      <c r="CB41" s="25"/>
      <c r="CD41" s="26"/>
      <c r="CF41" s="26"/>
      <c r="CH41" s="26"/>
      <c r="CK41" s="48"/>
      <c r="CL41" s="23"/>
      <c r="CM41" s="48"/>
      <c r="CN41" s="26"/>
      <c r="CO41" s="23"/>
      <c r="CP41" s="23"/>
      <c r="CQ41" s="23"/>
      <c r="CR41" s="23"/>
      <c r="CS41" s="23"/>
      <c r="CT41" s="23"/>
      <c r="CW41" s="23"/>
      <c r="CX41" s="23"/>
      <c r="CY41" s="25"/>
      <c r="DA41" s="26"/>
      <c r="DC41" s="26"/>
      <c r="DE41" s="26"/>
      <c r="DH41" s="48"/>
      <c r="DI41" s="23"/>
      <c r="DJ41" s="48"/>
      <c r="DK41" s="26"/>
      <c r="DL41" s="23"/>
      <c r="DM41" s="23"/>
      <c r="DN41" s="23"/>
      <c r="DO41" s="23"/>
      <c r="DP41" s="23"/>
      <c r="DQ41" s="23"/>
      <c r="DT41" s="23"/>
      <c r="DU41" s="23"/>
      <c r="DV41" s="23"/>
      <c r="DW41" s="25"/>
      <c r="DY41" s="26"/>
      <c r="EA41" s="26"/>
      <c r="EC41" s="26"/>
    </row>
    <row r="42" spans="1:186" ht="20.100000000000001" customHeight="1" x14ac:dyDescent="0.2"/>
    <row r="43" spans="1:186" ht="13.2" x14ac:dyDescent="0.25">
      <c r="D43" s="166" t="s">
        <v>0</v>
      </c>
      <c r="E43" s="166"/>
      <c r="F43" s="166"/>
      <c r="G43" s="166"/>
      <c r="H43" s="166"/>
      <c r="I43" s="166"/>
      <c r="J43" s="166"/>
      <c r="X43" s="166" t="s">
        <v>0</v>
      </c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V43" s="166" t="s">
        <v>0</v>
      </c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T43" s="166" t="s">
        <v>0</v>
      </c>
      <c r="BU43" s="166"/>
      <c r="BV43" s="166"/>
      <c r="BW43" s="166"/>
      <c r="BX43" s="166"/>
      <c r="BY43" s="166"/>
      <c r="BZ43" s="166"/>
      <c r="CN43" s="166" t="s">
        <v>0</v>
      </c>
      <c r="CO43" s="166"/>
      <c r="CP43" s="166"/>
      <c r="CQ43" s="166"/>
      <c r="CR43" s="166"/>
      <c r="CS43" s="166"/>
      <c r="CT43" s="166"/>
      <c r="CU43" s="166"/>
      <c r="CV43" s="166"/>
      <c r="CW43" s="166"/>
      <c r="CX43" s="166"/>
      <c r="DL43" s="166" t="s">
        <v>0</v>
      </c>
      <c r="DM43" s="166"/>
      <c r="DN43" s="166"/>
      <c r="DO43" s="166"/>
      <c r="DP43" s="166"/>
      <c r="DQ43" s="166"/>
      <c r="DR43" s="166"/>
      <c r="DS43" s="166"/>
      <c r="DT43" s="166"/>
      <c r="DU43" s="166"/>
      <c r="DV43" s="166"/>
      <c r="EJ43" s="166" t="s">
        <v>0</v>
      </c>
      <c r="EK43" s="166"/>
      <c r="EL43" s="166"/>
      <c r="EM43" s="166"/>
      <c r="EN43" s="166"/>
      <c r="EO43" s="166"/>
      <c r="EP43" s="166"/>
      <c r="EQ43" s="166"/>
      <c r="ER43" s="166"/>
      <c r="ES43" s="166"/>
      <c r="ET43" s="166"/>
      <c r="EU43" s="166"/>
      <c r="EV43" s="166"/>
      <c r="EW43" s="166"/>
      <c r="EX43" s="166"/>
      <c r="EY43" s="166"/>
      <c r="EZ43" s="166"/>
      <c r="FA43" s="166"/>
      <c r="FB43" s="166"/>
    </row>
    <row r="44" spans="1:186" ht="15.75" customHeight="1" x14ac:dyDescent="0.2">
      <c r="A44" t="s">
        <v>53</v>
      </c>
      <c r="L44" t="s">
        <v>1</v>
      </c>
      <c r="M44" s="167" t="s">
        <v>56</v>
      </c>
      <c r="N44" s="167"/>
      <c r="O44" s="167"/>
      <c r="P44" s="167"/>
      <c r="Q44" s="167"/>
      <c r="R44" s="167"/>
      <c r="U44" t="s">
        <v>53</v>
      </c>
      <c r="AJ44" t="s">
        <v>1</v>
      </c>
      <c r="AK44" s="167" t="s">
        <v>56</v>
      </c>
      <c r="AL44" s="167"/>
      <c r="AM44" s="167"/>
      <c r="AN44" s="167"/>
      <c r="AO44" s="167"/>
      <c r="AP44" s="167"/>
      <c r="AS44" t="s">
        <v>53</v>
      </c>
      <c r="BH44" t="s">
        <v>1</v>
      </c>
      <c r="BI44" s="167" t="s">
        <v>56</v>
      </c>
      <c r="BJ44" s="167"/>
      <c r="BK44" s="167"/>
      <c r="BL44" s="167"/>
      <c r="BM44" s="167"/>
      <c r="BN44" s="167"/>
      <c r="BQ44" t="s">
        <v>53</v>
      </c>
      <c r="CB44" t="s">
        <v>1</v>
      </c>
      <c r="CC44" s="167" t="s">
        <v>56</v>
      </c>
      <c r="CD44" s="167"/>
      <c r="CE44" s="167"/>
      <c r="CF44" s="167"/>
      <c r="CG44" s="167"/>
      <c r="CH44" s="167"/>
      <c r="CK44" t="s">
        <v>53</v>
      </c>
      <c r="CZ44" t="s">
        <v>1</v>
      </c>
      <c r="DA44" s="167" t="s">
        <v>56</v>
      </c>
      <c r="DB44" s="167"/>
      <c r="DC44" s="167"/>
      <c r="DD44" s="167"/>
      <c r="DE44" s="167"/>
      <c r="DF44" s="167"/>
      <c r="DI44" t="s">
        <v>53</v>
      </c>
      <c r="DX44" t="s">
        <v>1</v>
      </c>
      <c r="DY44" s="167" t="s">
        <v>56</v>
      </c>
      <c r="DZ44" s="167"/>
      <c r="EA44" s="167"/>
      <c r="EB44" s="167"/>
      <c r="EC44" s="167"/>
      <c r="ED44" s="167"/>
      <c r="EG44" t="s">
        <v>53</v>
      </c>
      <c r="FD44" t="s">
        <v>1</v>
      </c>
      <c r="FE44" s="167" t="s">
        <v>56</v>
      </c>
      <c r="FF44" s="167"/>
      <c r="FG44" s="167"/>
      <c r="FH44" s="167"/>
      <c r="FI44" s="167"/>
      <c r="FJ44" s="167"/>
    </row>
    <row r="45" spans="1:186" ht="33" customHeight="1" x14ac:dyDescent="0.2">
      <c r="D45" s="168" t="s">
        <v>341</v>
      </c>
      <c r="E45" s="168"/>
      <c r="F45" s="168"/>
      <c r="G45" s="168"/>
      <c r="H45" s="168"/>
      <c r="I45" s="169" t="s">
        <v>24</v>
      </c>
      <c r="J45" s="169"/>
      <c r="K45" s="169"/>
      <c r="L45" s="169"/>
      <c r="M45" s="169"/>
      <c r="N45" s="169"/>
      <c r="O45" s="54"/>
      <c r="P45" s="170" t="s">
        <v>284</v>
      </c>
      <c r="Q45" s="170"/>
      <c r="R45" s="170"/>
      <c r="X45" s="168" t="s">
        <v>307</v>
      </c>
      <c r="Y45" s="168"/>
      <c r="Z45" s="168"/>
      <c r="AA45" s="168"/>
      <c r="AB45" s="168"/>
      <c r="AC45" s="168"/>
      <c r="AD45" s="168"/>
      <c r="AE45" s="168"/>
      <c r="AF45" s="40"/>
      <c r="AG45" s="169" t="s">
        <v>24</v>
      </c>
      <c r="AH45" s="169"/>
      <c r="AI45" s="169"/>
      <c r="AJ45" s="169"/>
      <c r="AK45" s="169"/>
      <c r="AL45" s="169"/>
      <c r="AM45" s="54"/>
      <c r="AN45" s="170" t="s">
        <v>212</v>
      </c>
      <c r="AO45" s="170"/>
      <c r="AP45" s="170"/>
      <c r="AV45" s="187" t="s">
        <v>313</v>
      </c>
      <c r="AW45" s="187"/>
      <c r="AX45" s="187"/>
      <c r="AY45" s="187"/>
      <c r="AZ45" s="187"/>
      <c r="BA45" s="187"/>
      <c r="BB45" s="187"/>
      <c r="BC45" s="187"/>
      <c r="BD45" s="40"/>
      <c r="BE45" s="169" t="s">
        <v>24</v>
      </c>
      <c r="BF45" s="169"/>
      <c r="BG45" s="169"/>
      <c r="BH45" s="169"/>
      <c r="BI45" s="169"/>
      <c r="BJ45" s="169"/>
      <c r="BK45" s="54"/>
      <c r="BL45" s="170" t="s">
        <v>61</v>
      </c>
      <c r="BM45" s="170"/>
      <c r="BN45" s="170"/>
      <c r="BT45" s="168" t="s">
        <v>312</v>
      </c>
      <c r="BU45" s="168"/>
      <c r="BV45" s="168"/>
      <c r="BW45" s="168"/>
      <c r="BX45" s="168"/>
      <c r="BY45" s="169" t="s">
        <v>24</v>
      </c>
      <c r="BZ45" s="169"/>
      <c r="CA45" s="169"/>
      <c r="CB45" s="169"/>
      <c r="CC45" s="169"/>
      <c r="CD45" s="169"/>
      <c r="CE45" s="54"/>
      <c r="CF45" s="170" t="s">
        <v>314</v>
      </c>
      <c r="CG45" s="170"/>
      <c r="CH45" s="170"/>
      <c r="CN45" s="168" t="s">
        <v>204</v>
      </c>
      <c r="CO45" s="168"/>
      <c r="CP45" s="168"/>
      <c r="CQ45" s="168"/>
      <c r="CR45" s="168"/>
      <c r="CS45" s="168"/>
      <c r="CT45" s="168"/>
      <c r="CU45" s="168"/>
      <c r="CV45" s="168"/>
      <c r="CW45" s="169" t="s">
        <v>24</v>
      </c>
      <c r="CX45" s="169"/>
      <c r="CY45" s="169"/>
      <c r="CZ45" s="169"/>
      <c r="DA45" s="169"/>
      <c r="DB45" s="169"/>
      <c r="DC45" s="54"/>
      <c r="DD45" s="170" t="s">
        <v>216</v>
      </c>
      <c r="DE45" s="170"/>
      <c r="DF45" s="170"/>
      <c r="DL45" s="168" t="s">
        <v>208</v>
      </c>
      <c r="DM45" s="168"/>
      <c r="DN45" s="168"/>
      <c r="DO45" s="168"/>
      <c r="DP45" s="168"/>
      <c r="DQ45" s="168"/>
      <c r="DR45" s="168"/>
      <c r="DS45" s="168"/>
      <c r="DU45" s="169" t="s">
        <v>24</v>
      </c>
      <c r="DV45" s="169"/>
      <c r="DW45" s="169"/>
      <c r="DX45" s="169"/>
      <c r="DY45" s="169"/>
      <c r="DZ45" s="169"/>
      <c r="EA45" s="54"/>
      <c r="EB45" s="170" t="s">
        <v>214</v>
      </c>
      <c r="EC45" s="170"/>
      <c r="ED45" s="170"/>
      <c r="EJ45" s="168" t="s">
        <v>207</v>
      </c>
      <c r="EK45" s="168"/>
      <c r="EL45" s="168"/>
      <c r="EM45" s="168"/>
      <c r="EN45" s="168"/>
      <c r="EO45" s="168"/>
      <c r="EP45" s="168"/>
      <c r="EQ45" s="168"/>
      <c r="ER45" s="168"/>
      <c r="ES45" s="40"/>
      <c r="ET45" s="40"/>
      <c r="EU45" s="40"/>
      <c r="EV45" s="40"/>
      <c r="EW45" s="40"/>
      <c r="EX45" s="40"/>
      <c r="EY45" s="40"/>
      <c r="EZ45" s="40"/>
      <c r="FA45" s="169" t="s">
        <v>24</v>
      </c>
      <c r="FB45" s="169"/>
      <c r="FC45" s="169"/>
      <c r="FD45" s="169"/>
      <c r="FE45" s="169"/>
      <c r="FF45" s="169"/>
      <c r="FG45" s="54"/>
      <c r="FH45" s="170" t="s">
        <v>215</v>
      </c>
      <c r="FI45" s="170"/>
      <c r="FJ45" s="170"/>
    </row>
    <row r="46" spans="1:186" ht="21" customHeight="1" x14ac:dyDescent="0.2">
      <c r="A46" t="s">
        <v>2</v>
      </c>
      <c r="D46" t="s">
        <v>340</v>
      </c>
      <c r="U46" t="s">
        <v>2</v>
      </c>
      <c r="X46" t="s">
        <v>340</v>
      </c>
      <c r="AS46" t="s">
        <v>2</v>
      </c>
      <c r="AV46" t="s">
        <v>340</v>
      </c>
      <c r="BQ46" t="s">
        <v>2</v>
      </c>
      <c r="BT46" t="s">
        <v>334</v>
      </c>
      <c r="CK46" t="s">
        <v>2</v>
      </c>
      <c r="CN46" t="s">
        <v>334</v>
      </c>
      <c r="DI46" t="s">
        <v>2</v>
      </c>
      <c r="DL46" t="s">
        <v>54</v>
      </c>
      <c r="EG46" t="s">
        <v>2</v>
      </c>
      <c r="EJ46" t="s">
        <v>54</v>
      </c>
    </row>
    <row r="47" spans="1:186" ht="12.75" customHeight="1" x14ac:dyDescent="0.35">
      <c r="E47" s="2"/>
      <c r="F47" s="2"/>
      <c r="G47" s="2"/>
      <c r="H47" s="2"/>
      <c r="Y47" s="2"/>
      <c r="Z47" s="2"/>
      <c r="AA47" s="2"/>
      <c r="AB47" s="2"/>
      <c r="AC47" s="2"/>
      <c r="AD47" s="2"/>
      <c r="AE47" s="3"/>
      <c r="AF47" s="3"/>
      <c r="AW47" s="2"/>
      <c r="AX47" s="2"/>
      <c r="AY47" s="2"/>
      <c r="AZ47" s="2"/>
      <c r="BA47" s="2"/>
      <c r="BB47" s="2"/>
      <c r="BC47" s="3"/>
      <c r="BD47" s="3"/>
      <c r="BU47" s="2"/>
      <c r="BV47" s="2"/>
      <c r="BW47" s="2"/>
      <c r="BX47" s="2"/>
      <c r="CP47" s="2"/>
      <c r="CQ47" s="2"/>
      <c r="CR47" s="2"/>
      <c r="CS47" s="2"/>
      <c r="CT47" s="2"/>
      <c r="CU47" s="2"/>
      <c r="CV47" s="3"/>
      <c r="DM47" s="2"/>
      <c r="DN47" s="2"/>
      <c r="DO47" s="2"/>
      <c r="DP47" s="2"/>
      <c r="DQ47" s="2"/>
      <c r="DR47" s="2"/>
      <c r="DS47" s="3"/>
      <c r="DT47" s="2"/>
      <c r="EK47" s="2"/>
      <c r="EL47" s="2"/>
      <c r="EM47" s="2"/>
      <c r="EN47" s="2"/>
      <c r="EO47" s="2"/>
      <c r="EP47" s="2"/>
      <c r="EQ47" s="2"/>
      <c r="ER47" s="2"/>
    </row>
    <row r="48" spans="1:186" ht="18" customHeight="1" x14ac:dyDescent="0.2">
      <c r="A48" s="188" t="s">
        <v>3</v>
      </c>
      <c r="B48" s="156" t="s">
        <v>4</v>
      </c>
      <c r="C48" s="171" t="s">
        <v>5</v>
      </c>
      <c r="D48" s="171" t="s">
        <v>6</v>
      </c>
      <c r="E48" s="192" t="s">
        <v>7</v>
      </c>
      <c r="F48" s="193"/>
      <c r="G48" s="193"/>
      <c r="H48" s="193"/>
      <c r="I48" s="158" t="s">
        <v>9</v>
      </c>
      <c r="J48" s="159"/>
      <c r="K48" s="156" t="s">
        <v>12</v>
      </c>
      <c r="L48" s="158" t="s">
        <v>13</v>
      </c>
      <c r="M48" s="176"/>
      <c r="N48" s="176"/>
      <c r="O48" s="159"/>
      <c r="P48" s="178" t="s">
        <v>16</v>
      </c>
      <c r="Q48" s="179"/>
      <c r="R48" s="179"/>
      <c r="S48" s="180"/>
      <c r="T48" s="184" t="s">
        <v>19</v>
      </c>
      <c r="U48" s="188" t="s">
        <v>3</v>
      </c>
      <c r="V48" s="156" t="s">
        <v>4</v>
      </c>
      <c r="W48" s="171" t="s">
        <v>5</v>
      </c>
      <c r="X48" s="171" t="s">
        <v>6</v>
      </c>
      <c r="Y48" s="192" t="s">
        <v>7</v>
      </c>
      <c r="Z48" s="193"/>
      <c r="AA48" s="193"/>
      <c r="AB48" s="193"/>
      <c r="AC48" s="193"/>
      <c r="AD48" s="193"/>
      <c r="AE48" s="193"/>
      <c r="AF48" s="193"/>
      <c r="AG48" s="158" t="s">
        <v>9</v>
      </c>
      <c r="AH48" s="159"/>
      <c r="AI48" s="156" t="s">
        <v>12</v>
      </c>
      <c r="AJ48" s="158" t="s">
        <v>13</v>
      </c>
      <c r="AK48" s="176"/>
      <c r="AL48" s="176"/>
      <c r="AM48" s="159"/>
      <c r="AN48" s="178" t="s">
        <v>16</v>
      </c>
      <c r="AO48" s="179"/>
      <c r="AP48" s="179"/>
      <c r="AQ48" s="180"/>
      <c r="AR48" s="184" t="s">
        <v>19</v>
      </c>
      <c r="AS48" s="188" t="s">
        <v>3</v>
      </c>
      <c r="AT48" s="156" t="s">
        <v>4</v>
      </c>
      <c r="AU48" s="171" t="s">
        <v>5</v>
      </c>
      <c r="AV48" s="171" t="s">
        <v>6</v>
      </c>
      <c r="AW48" s="192" t="s">
        <v>7</v>
      </c>
      <c r="AX48" s="193"/>
      <c r="AY48" s="193"/>
      <c r="AZ48" s="193"/>
      <c r="BA48" s="193"/>
      <c r="BB48" s="193"/>
      <c r="BC48" s="193"/>
      <c r="BD48" s="193"/>
      <c r="BE48" s="158" t="s">
        <v>9</v>
      </c>
      <c r="BF48" s="159"/>
      <c r="BG48" s="156" t="s">
        <v>12</v>
      </c>
      <c r="BH48" s="158" t="s">
        <v>13</v>
      </c>
      <c r="BI48" s="176"/>
      <c r="BJ48" s="176"/>
      <c r="BK48" s="159"/>
      <c r="BL48" s="178" t="s">
        <v>16</v>
      </c>
      <c r="BM48" s="179"/>
      <c r="BN48" s="179"/>
      <c r="BO48" s="180"/>
      <c r="BP48" s="184" t="s">
        <v>19</v>
      </c>
      <c r="BQ48" s="188" t="s">
        <v>3</v>
      </c>
      <c r="BR48" s="156" t="s">
        <v>4</v>
      </c>
      <c r="BS48" s="171" t="s">
        <v>5</v>
      </c>
      <c r="BT48" s="171" t="s">
        <v>6</v>
      </c>
      <c r="BU48" s="192" t="s">
        <v>7</v>
      </c>
      <c r="BV48" s="193"/>
      <c r="BW48" s="193"/>
      <c r="BX48" s="193"/>
      <c r="BY48" s="158" t="s">
        <v>9</v>
      </c>
      <c r="BZ48" s="159"/>
      <c r="CA48" s="156" t="s">
        <v>12</v>
      </c>
      <c r="CB48" s="158" t="s">
        <v>13</v>
      </c>
      <c r="CC48" s="176"/>
      <c r="CD48" s="176"/>
      <c r="CE48" s="159"/>
      <c r="CF48" s="178" t="s">
        <v>16</v>
      </c>
      <c r="CG48" s="179"/>
      <c r="CH48" s="179"/>
      <c r="CI48" s="180"/>
      <c r="CJ48" s="184" t="s">
        <v>19</v>
      </c>
      <c r="CK48" s="188" t="s">
        <v>3</v>
      </c>
      <c r="CL48" s="156" t="s">
        <v>4</v>
      </c>
      <c r="CM48" s="171" t="s">
        <v>5</v>
      </c>
      <c r="CN48" s="171" t="s">
        <v>6</v>
      </c>
      <c r="CO48" s="41"/>
      <c r="CP48" s="192" t="s">
        <v>7</v>
      </c>
      <c r="CQ48" s="193"/>
      <c r="CR48" s="193"/>
      <c r="CS48" s="193"/>
      <c r="CT48" s="193"/>
      <c r="CU48" s="193"/>
      <c r="CV48" s="193"/>
      <c r="CW48" s="158" t="s">
        <v>9</v>
      </c>
      <c r="CX48" s="159"/>
      <c r="CY48" s="156" t="s">
        <v>12</v>
      </c>
      <c r="CZ48" s="158" t="s">
        <v>13</v>
      </c>
      <c r="DA48" s="176"/>
      <c r="DB48" s="176"/>
      <c r="DC48" s="159"/>
      <c r="DD48" s="178" t="s">
        <v>16</v>
      </c>
      <c r="DE48" s="179"/>
      <c r="DF48" s="179"/>
      <c r="DG48" s="180"/>
      <c r="DH48" s="184" t="s">
        <v>19</v>
      </c>
      <c r="DI48" s="188" t="s">
        <v>3</v>
      </c>
      <c r="DJ48" s="156" t="s">
        <v>4</v>
      </c>
      <c r="DK48" s="171" t="s">
        <v>5</v>
      </c>
      <c r="DL48" s="171" t="s">
        <v>6</v>
      </c>
      <c r="DM48" s="192" t="s">
        <v>7</v>
      </c>
      <c r="DN48" s="193"/>
      <c r="DO48" s="193"/>
      <c r="DP48" s="193"/>
      <c r="DQ48" s="193"/>
      <c r="DR48" s="193"/>
      <c r="DS48" s="193"/>
      <c r="DT48" s="196"/>
      <c r="DU48" s="158" t="s">
        <v>9</v>
      </c>
      <c r="DV48" s="159"/>
      <c r="DW48" s="156" t="s">
        <v>12</v>
      </c>
      <c r="DX48" s="158" t="s">
        <v>13</v>
      </c>
      <c r="DY48" s="176"/>
      <c r="DZ48" s="176"/>
      <c r="EA48" s="159"/>
      <c r="EB48" s="178" t="s">
        <v>16</v>
      </c>
      <c r="EC48" s="179"/>
      <c r="ED48" s="179"/>
      <c r="EE48" s="180"/>
      <c r="EF48" s="184" t="s">
        <v>19</v>
      </c>
      <c r="EG48" s="188" t="s">
        <v>3</v>
      </c>
      <c r="EH48" s="156" t="s">
        <v>4</v>
      </c>
      <c r="EI48" s="171" t="s">
        <v>5</v>
      </c>
      <c r="EJ48" s="171" t="s">
        <v>6</v>
      </c>
      <c r="EK48" s="192" t="s">
        <v>7</v>
      </c>
      <c r="EL48" s="193"/>
      <c r="EM48" s="193"/>
      <c r="EN48" s="193"/>
      <c r="EO48" s="193"/>
      <c r="EP48" s="193"/>
      <c r="EQ48" s="193"/>
      <c r="ER48" s="193"/>
      <c r="ES48" s="89"/>
      <c r="ET48" s="89"/>
      <c r="EU48" s="89"/>
      <c r="EV48" s="89"/>
      <c r="EW48" s="89"/>
      <c r="EX48" s="89"/>
      <c r="EY48" s="89"/>
      <c r="EZ48" s="89"/>
      <c r="FA48" s="158" t="s">
        <v>9</v>
      </c>
      <c r="FB48" s="159"/>
      <c r="FC48" s="156" t="s">
        <v>12</v>
      </c>
      <c r="FD48" s="158" t="s">
        <v>13</v>
      </c>
      <c r="FE48" s="176"/>
      <c r="FF48" s="176"/>
      <c r="FG48" s="159"/>
      <c r="FH48" s="178" t="s">
        <v>16</v>
      </c>
      <c r="FI48" s="179"/>
      <c r="FJ48" s="179"/>
      <c r="FK48" s="180"/>
      <c r="FL48" s="184" t="s">
        <v>19</v>
      </c>
    </row>
    <row r="49" spans="1:173" ht="25.5" customHeight="1" x14ac:dyDescent="0.2">
      <c r="A49" s="189"/>
      <c r="B49" s="191"/>
      <c r="C49" s="172"/>
      <c r="D49" s="172"/>
      <c r="E49" s="194" t="s">
        <v>8</v>
      </c>
      <c r="F49" s="195"/>
      <c r="G49" s="195"/>
      <c r="H49" s="195"/>
      <c r="I49" s="174"/>
      <c r="J49" s="175"/>
      <c r="K49" s="191"/>
      <c r="L49" s="174"/>
      <c r="M49" s="177"/>
      <c r="N49" s="177"/>
      <c r="O49" s="175"/>
      <c r="P49" s="181"/>
      <c r="Q49" s="182"/>
      <c r="R49" s="182"/>
      <c r="S49" s="183"/>
      <c r="T49" s="185"/>
      <c r="U49" s="189"/>
      <c r="V49" s="191"/>
      <c r="W49" s="172"/>
      <c r="X49" s="172"/>
      <c r="Y49" s="194" t="s">
        <v>8</v>
      </c>
      <c r="Z49" s="195"/>
      <c r="AA49" s="195"/>
      <c r="AB49" s="195"/>
      <c r="AC49" s="195"/>
      <c r="AD49" s="195"/>
      <c r="AE49" s="195"/>
      <c r="AF49" s="195"/>
      <c r="AG49" s="174"/>
      <c r="AH49" s="175"/>
      <c r="AI49" s="191"/>
      <c r="AJ49" s="174"/>
      <c r="AK49" s="177"/>
      <c r="AL49" s="177"/>
      <c r="AM49" s="175"/>
      <c r="AN49" s="181"/>
      <c r="AO49" s="182"/>
      <c r="AP49" s="182"/>
      <c r="AQ49" s="183"/>
      <c r="AR49" s="185"/>
      <c r="AS49" s="189"/>
      <c r="AT49" s="191"/>
      <c r="AU49" s="172"/>
      <c r="AV49" s="172"/>
      <c r="AW49" s="194" t="s">
        <v>8</v>
      </c>
      <c r="AX49" s="195"/>
      <c r="AY49" s="195"/>
      <c r="AZ49" s="195"/>
      <c r="BA49" s="195"/>
      <c r="BB49" s="195"/>
      <c r="BC49" s="195"/>
      <c r="BD49" s="195"/>
      <c r="BE49" s="174"/>
      <c r="BF49" s="175"/>
      <c r="BG49" s="191"/>
      <c r="BH49" s="174"/>
      <c r="BI49" s="177"/>
      <c r="BJ49" s="177"/>
      <c r="BK49" s="175"/>
      <c r="BL49" s="181"/>
      <c r="BM49" s="182"/>
      <c r="BN49" s="182"/>
      <c r="BO49" s="183"/>
      <c r="BP49" s="185"/>
      <c r="BQ49" s="189"/>
      <c r="BR49" s="191"/>
      <c r="BS49" s="172"/>
      <c r="BT49" s="172"/>
      <c r="BU49" s="194" t="s">
        <v>8</v>
      </c>
      <c r="BV49" s="195"/>
      <c r="BW49" s="195"/>
      <c r="BX49" s="195"/>
      <c r="BY49" s="174"/>
      <c r="BZ49" s="175"/>
      <c r="CA49" s="191"/>
      <c r="CB49" s="174"/>
      <c r="CC49" s="177"/>
      <c r="CD49" s="177"/>
      <c r="CE49" s="175"/>
      <c r="CF49" s="181"/>
      <c r="CG49" s="182"/>
      <c r="CH49" s="182"/>
      <c r="CI49" s="183"/>
      <c r="CJ49" s="185"/>
      <c r="CK49" s="189"/>
      <c r="CL49" s="191"/>
      <c r="CM49" s="172"/>
      <c r="CN49" s="172"/>
      <c r="CO49" s="73"/>
      <c r="CP49" s="194" t="s">
        <v>8</v>
      </c>
      <c r="CQ49" s="195"/>
      <c r="CR49" s="195"/>
      <c r="CS49" s="195"/>
      <c r="CT49" s="195"/>
      <c r="CU49" s="195"/>
      <c r="CV49" s="195"/>
      <c r="CW49" s="174"/>
      <c r="CX49" s="175"/>
      <c r="CY49" s="191"/>
      <c r="CZ49" s="174"/>
      <c r="DA49" s="177"/>
      <c r="DB49" s="177"/>
      <c r="DC49" s="175"/>
      <c r="DD49" s="181"/>
      <c r="DE49" s="182"/>
      <c r="DF49" s="182"/>
      <c r="DG49" s="183"/>
      <c r="DH49" s="185"/>
      <c r="DI49" s="189"/>
      <c r="DJ49" s="191"/>
      <c r="DK49" s="172"/>
      <c r="DL49" s="172"/>
      <c r="DM49" s="194" t="s">
        <v>8</v>
      </c>
      <c r="DN49" s="195"/>
      <c r="DO49" s="195"/>
      <c r="DP49" s="195"/>
      <c r="DQ49" s="195"/>
      <c r="DR49" s="195"/>
      <c r="DS49" s="195"/>
      <c r="DT49" s="197"/>
      <c r="DU49" s="174"/>
      <c r="DV49" s="175"/>
      <c r="DW49" s="191"/>
      <c r="DX49" s="174"/>
      <c r="DY49" s="177"/>
      <c r="DZ49" s="177"/>
      <c r="EA49" s="175"/>
      <c r="EB49" s="181"/>
      <c r="EC49" s="182"/>
      <c r="ED49" s="182"/>
      <c r="EE49" s="183"/>
      <c r="EF49" s="185"/>
      <c r="EG49" s="189"/>
      <c r="EH49" s="191"/>
      <c r="EI49" s="172"/>
      <c r="EJ49" s="172"/>
      <c r="EK49" s="194" t="s">
        <v>8</v>
      </c>
      <c r="EL49" s="195"/>
      <c r="EM49" s="195"/>
      <c r="EN49" s="195"/>
      <c r="EO49" s="195"/>
      <c r="EP49" s="195"/>
      <c r="EQ49" s="195"/>
      <c r="ER49" s="195"/>
      <c r="ES49" s="90"/>
      <c r="ET49" s="90"/>
      <c r="EU49" s="90"/>
      <c r="EV49" s="90"/>
      <c r="EW49" s="90"/>
      <c r="EX49" s="90"/>
      <c r="EY49" s="90"/>
      <c r="EZ49" s="90"/>
      <c r="FA49" s="174"/>
      <c r="FB49" s="175"/>
      <c r="FC49" s="191"/>
      <c r="FD49" s="174"/>
      <c r="FE49" s="177"/>
      <c r="FF49" s="177"/>
      <c r="FG49" s="175"/>
      <c r="FH49" s="181"/>
      <c r="FI49" s="182"/>
      <c r="FJ49" s="182"/>
      <c r="FK49" s="183"/>
      <c r="FL49" s="185"/>
    </row>
    <row r="50" spans="1:173" ht="19.5" customHeight="1" x14ac:dyDescent="0.2">
      <c r="A50" s="189"/>
      <c r="B50" s="191"/>
      <c r="C50" s="172"/>
      <c r="D50" s="172"/>
      <c r="E50" s="41">
        <v>8</v>
      </c>
      <c r="F50" s="41">
        <v>9</v>
      </c>
      <c r="G50" s="41">
        <v>10</v>
      </c>
      <c r="H50" s="41">
        <v>11</v>
      </c>
      <c r="I50" s="156" t="s">
        <v>10</v>
      </c>
      <c r="J50" s="156" t="s">
        <v>11</v>
      </c>
      <c r="K50" s="191"/>
      <c r="L50" s="158" t="s">
        <v>14</v>
      </c>
      <c r="M50" s="159"/>
      <c r="N50" s="162" t="s">
        <v>15</v>
      </c>
      <c r="O50" s="163"/>
      <c r="P50" s="158" t="s">
        <v>20</v>
      </c>
      <c r="Q50" s="159"/>
      <c r="R50" s="162" t="s">
        <v>15</v>
      </c>
      <c r="S50" s="163"/>
      <c r="T50" s="185"/>
      <c r="U50" s="189"/>
      <c r="V50" s="191"/>
      <c r="W50" s="172"/>
      <c r="X50" s="172"/>
      <c r="Y50" s="41">
        <v>1</v>
      </c>
      <c r="Z50" s="41">
        <v>2</v>
      </c>
      <c r="AA50" s="41">
        <v>3</v>
      </c>
      <c r="AB50" s="41">
        <v>9</v>
      </c>
      <c r="AC50" s="41">
        <v>10</v>
      </c>
      <c r="AD50" s="40">
        <v>11</v>
      </c>
      <c r="AE50" s="41">
        <v>14</v>
      </c>
      <c r="AF50" s="41">
        <v>15</v>
      </c>
      <c r="AG50" s="156" t="s">
        <v>10</v>
      </c>
      <c r="AH50" s="156" t="s">
        <v>11</v>
      </c>
      <c r="AI50" s="191"/>
      <c r="AJ50" s="158" t="s">
        <v>14</v>
      </c>
      <c r="AK50" s="159"/>
      <c r="AL50" s="162" t="s">
        <v>15</v>
      </c>
      <c r="AM50" s="163"/>
      <c r="AN50" s="158" t="s">
        <v>20</v>
      </c>
      <c r="AO50" s="159"/>
      <c r="AP50" s="162" t="s">
        <v>15</v>
      </c>
      <c r="AQ50" s="163"/>
      <c r="AR50" s="185"/>
      <c r="AS50" s="189"/>
      <c r="AT50" s="191"/>
      <c r="AU50" s="172"/>
      <c r="AV50" s="172"/>
      <c r="AW50" s="41">
        <v>12</v>
      </c>
      <c r="AX50" s="41">
        <v>13</v>
      </c>
      <c r="AY50" s="41">
        <v>14</v>
      </c>
      <c r="AZ50" s="41">
        <v>20</v>
      </c>
      <c r="BA50" s="41">
        <v>21</v>
      </c>
      <c r="BB50" s="41">
        <v>22</v>
      </c>
      <c r="BC50" s="41">
        <v>25</v>
      </c>
      <c r="BD50" s="41">
        <v>26</v>
      </c>
      <c r="BE50" s="156" t="s">
        <v>10</v>
      </c>
      <c r="BF50" s="156" t="s">
        <v>11</v>
      </c>
      <c r="BG50" s="191"/>
      <c r="BH50" s="158" t="s">
        <v>14</v>
      </c>
      <c r="BI50" s="159"/>
      <c r="BJ50" s="162" t="s">
        <v>15</v>
      </c>
      <c r="BK50" s="163"/>
      <c r="BL50" s="158" t="s">
        <v>20</v>
      </c>
      <c r="BM50" s="159"/>
      <c r="BN50" s="162" t="s">
        <v>15</v>
      </c>
      <c r="BO50" s="163"/>
      <c r="BP50" s="185"/>
      <c r="BQ50" s="189"/>
      <c r="BR50" s="191"/>
      <c r="BS50" s="172"/>
      <c r="BT50" s="172"/>
      <c r="BU50" s="41">
        <v>3</v>
      </c>
      <c r="BV50" s="41">
        <v>4</v>
      </c>
      <c r="BW50" s="41">
        <v>10</v>
      </c>
      <c r="BX50" s="41">
        <v>11</v>
      </c>
      <c r="BY50" s="156" t="s">
        <v>10</v>
      </c>
      <c r="BZ50" s="156" t="s">
        <v>11</v>
      </c>
      <c r="CA50" s="191"/>
      <c r="CB50" s="158" t="s">
        <v>14</v>
      </c>
      <c r="CC50" s="159"/>
      <c r="CD50" s="162" t="s">
        <v>15</v>
      </c>
      <c r="CE50" s="163"/>
      <c r="CF50" s="158" t="s">
        <v>20</v>
      </c>
      <c r="CG50" s="159"/>
      <c r="CH50" s="162" t="s">
        <v>15</v>
      </c>
      <c r="CI50" s="163"/>
      <c r="CJ50" s="185"/>
      <c r="CK50" s="189"/>
      <c r="CL50" s="191"/>
      <c r="CM50" s="172"/>
      <c r="CN50" s="172"/>
      <c r="CO50" s="41">
        <v>7</v>
      </c>
      <c r="CP50" s="41">
        <v>8</v>
      </c>
      <c r="CQ50" s="41">
        <v>13</v>
      </c>
      <c r="CR50" s="41">
        <v>14</v>
      </c>
      <c r="CS50" s="41">
        <v>15</v>
      </c>
      <c r="CT50" s="41"/>
      <c r="CU50" s="40"/>
      <c r="CV50" s="41"/>
      <c r="CW50" s="156" t="s">
        <v>10</v>
      </c>
      <c r="CX50" s="156" t="s">
        <v>11</v>
      </c>
      <c r="CY50" s="191"/>
      <c r="CZ50" s="158" t="s">
        <v>14</v>
      </c>
      <c r="DA50" s="159"/>
      <c r="DB50" s="162" t="s">
        <v>15</v>
      </c>
      <c r="DC50" s="163"/>
      <c r="DD50" s="158" t="s">
        <v>20</v>
      </c>
      <c r="DE50" s="159"/>
      <c r="DF50" s="162" t="s">
        <v>15</v>
      </c>
      <c r="DG50" s="163"/>
      <c r="DH50" s="185"/>
      <c r="DI50" s="189"/>
      <c r="DJ50" s="191"/>
      <c r="DK50" s="172"/>
      <c r="DL50" s="172"/>
      <c r="DM50" s="41">
        <v>4</v>
      </c>
      <c r="DN50" s="41">
        <v>5</v>
      </c>
      <c r="DO50" s="41">
        <v>18</v>
      </c>
      <c r="DP50" s="41">
        <v>19</v>
      </c>
      <c r="DQ50" s="41">
        <v>20</v>
      </c>
      <c r="DR50" s="41">
        <v>21</v>
      </c>
      <c r="DS50" s="41"/>
      <c r="DT50" s="41"/>
      <c r="DU50" s="156" t="s">
        <v>10</v>
      </c>
      <c r="DV50" s="156" t="s">
        <v>11</v>
      </c>
      <c r="DW50" s="191"/>
      <c r="DX50" s="158" t="s">
        <v>14</v>
      </c>
      <c r="DY50" s="159"/>
      <c r="DZ50" s="162" t="s">
        <v>15</v>
      </c>
      <c r="EA50" s="163"/>
      <c r="EB50" s="158" t="s">
        <v>20</v>
      </c>
      <c r="EC50" s="159"/>
      <c r="ED50" s="162" t="s">
        <v>15</v>
      </c>
      <c r="EE50" s="163"/>
      <c r="EF50" s="185"/>
      <c r="EG50" s="189"/>
      <c r="EH50" s="191"/>
      <c r="EI50" s="172"/>
      <c r="EJ50" s="172"/>
      <c r="EK50" s="41">
        <v>1</v>
      </c>
      <c r="EL50" s="41">
        <v>2</v>
      </c>
      <c r="EM50" s="41">
        <v>3</v>
      </c>
      <c r="EN50" s="65">
        <v>6</v>
      </c>
      <c r="EO50" s="65"/>
      <c r="EP50" s="65"/>
      <c r="EQ50" s="65"/>
      <c r="ER50" s="41"/>
      <c r="ES50" s="86"/>
      <c r="ET50" s="86"/>
      <c r="EU50" s="86"/>
      <c r="EV50" s="86"/>
      <c r="EW50" s="86"/>
      <c r="EX50" s="86"/>
      <c r="EY50" s="86"/>
      <c r="EZ50" s="86"/>
      <c r="FA50" s="156" t="s">
        <v>10</v>
      </c>
      <c r="FB50" s="156" t="s">
        <v>11</v>
      </c>
      <c r="FC50" s="191"/>
      <c r="FD50" s="158" t="s">
        <v>14</v>
      </c>
      <c r="FE50" s="159"/>
      <c r="FF50" s="162" t="s">
        <v>15</v>
      </c>
      <c r="FG50" s="163"/>
      <c r="FH50" s="158" t="s">
        <v>20</v>
      </c>
      <c r="FI50" s="159"/>
      <c r="FJ50" s="162" t="s">
        <v>15</v>
      </c>
      <c r="FK50" s="163"/>
      <c r="FL50" s="185"/>
    </row>
    <row r="51" spans="1:173" ht="18.600000000000001" customHeight="1" x14ac:dyDescent="0.25">
      <c r="A51" s="190"/>
      <c r="B51" s="157"/>
      <c r="C51" s="173"/>
      <c r="D51" s="173"/>
      <c r="E51" s="17">
        <v>2</v>
      </c>
      <c r="F51" s="17">
        <v>2</v>
      </c>
      <c r="G51" s="17">
        <v>2</v>
      </c>
      <c r="H51" s="17">
        <v>2</v>
      </c>
      <c r="I51" s="157"/>
      <c r="J51" s="157"/>
      <c r="K51" s="157"/>
      <c r="L51" s="160"/>
      <c r="M51" s="161"/>
      <c r="N51" s="164"/>
      <c r="O51" s="165"/>
      <c r="P51" s="160"/>
      <c r="Q51" s="161"/>
      <c r="R51" s="164"/>
      <c r="S51" s="165"/>
      <c r="T51" s="186"/>
      <c r="U51" s="190"/>
      <c r="V51" s="157"/>
      <c r="W51" s="173"/>
      <c r="X51" s="173"/>
      <c r="Y51" s="17">
        <v>2</v>
      </c>
      <c r="Z51" s="17">
        <v>2</v>
      </c>
      <c r="AA51" s="17">
        <v>2</v>
      </c>
      <c r="AB51" s="17">
        <v>2</v>
      </c>
      <c r="AC51" s="18">
        <v>2</v>
      </c>
      <c r="AD51" s="19">
        <v>2</v>
      </c>
      <c r="AE51" s="18">
        <v>2</v>
      </c>
      <c r="AF51" s="19">
        <v>2</v>
      </c>
      <c r="AG51" s="157"/>
      <c r="AH51" s="157"/>
      <c r="AI51" s="157"/>
      <c r="AJ51" s="160"/>
      <c r="AK51" s="161"/>
      <c r="AL51" s="164"/>
      <c r="AM51" s="165"/>
      <c r="AN51" s="160"/>
      <c r="AO51" s="161"/>
      <c r="AP51" s="164"/>
      <c r="AQ51" s="165"/>
      <c r="AR51" s="186"/>
      <c r="AS51" s="190"/>
      <c r="AT51" s="157"/>
      <c r="AU51" s="173"/>
      <c r="AV51" s="173"/>
      <c r="AW51" s="17">
        <v>2</v>
      </c>
      <c r="AX51" s="17">
        <v>2</v>
      </c>
      <c r="AY51" s="17">
        <v>2</v>
      </c>
      <c r="AZ51" s="17">
        <v>2</v>
      </c>
      <c r="BA51" s="17">
        <v>2</v>
      </c>
      <c r="BB51" s="17">
        <v>2</v>
      </c>
      <c r="BC51" s="17">
        <v>2</v>
      </c>
      <c r="BD51" s="17">
        <v>2</v>
      </c>
      <c r="BE51" s="157"/>
      <c r="BF51" s="157"/>
      <c r="BG51" s="157"/>
      <c r="BH51" s="160"/>
      <c r="BI51" s="161"/>
      <c r="BJ51" s="164"/>
      <c r="BK51" s="165"/>
      <c r="BL51" s="160"/>
      <c r="BM51" s="161"/>
      <c r="BN51" s="164"/>
      <c r="BO51" s="165"/>
      <c r="BP51" s="186"/>
      <c r="BQ51" s="190"/>
      <c r="BR51" s="157"/>
      <c r="BS51" s="173"/>
      <c r="BT51" s="173"/>
      <c r="BU51" s="17">
        <v>2</v>
      </c>
      <c r="BV51" s="17">
        <v>2</v>
      </c>
      <c r="BW51" s="17">
        <v>2</v>
      </c>
      <c r="BX51" s="17">
        <v>2</v>
      </c>
      <c r="BY51" s="157"/>
      <c r="BZ51" s="157"/>
      <c r="CA51" s="157"/>
      <c r="CB51" s="160"/>
      <c r="CC51" s="161"/>
      <c r="CD51" s="164"/>
      <c r="CE51" s="165"/>
      <c r="CF51" s="160"/>
      <c r="CG51" s="161"/>
      <c r="CH51" s="164"/>
      <c r="CI51" s="165"/>
      <c r="CJ51" s="186"/>
      <c r="CK51" s="190"/>
      <c r="CL51" s="157"/>
      <c r="CM51" s="173"/>
      <c r="CN51" s="173"/>
      <c r="CO51" s="16">
        <v>2</v>
      </c>
      <c r="CP51" s="17">
        <v>2</v>
      </c>
      <c r="CQ51" s="17">
        <v>2</v>
      </c>
      <c r="CR51" s="17">
        <v>2</v>
      </c>
      <c r="CS51" s="17">
        <v>2</v>
      </c>
      <c r="CT51" s="18"/>
      <c r="CU51" s="19"/>
      <c r="CV51" s="18"/>
      <c r="CW51" s="157"/>
      <c r="CX51" s="157"/>
      <c r="CY51" s="157"/>
      <c r="CZ51" s="160"/>
      <c r="DA51" s="161"/>
      <c r="DB51" s="164"/>
      <c r="DC51" s="165"/>
      <c r="DD51" s="160"/>
      <c r="DE51" s="161"/>
      <c r="DF51" s="164"/>
      <c r="DG51" s="165"/>
      <c r="DH51" s="186"/>
      <c r="DI51" s="190"/>
      <c r="DJ51" s="157"/>
      <c r="DK51" s="173"/>
      <c r="DL51" s="173"/>
      <c r="DM51" s="17">
        <v>2</v>
      </c>
      <c r="DN51" s="17">
        <v>2</v>
      </c>
      <c r="DO51" s="17">
        <v>2</v>
      </c>
      <c r="DP51" s="17">
        <v>2</v>
      </c>
      <c r="DQ51" s="18">
        <v>2</v>
      </c>
      <c r="DR51" s="18">
        <v>2</v>
      </c>
      <c r="DS51" s="19" t="s">
        <v>60</v>
      </c>
      <c r="DT51" s="18"/>
      <c r="DU51" s="157"/>
      <c r="DV51" s="157"/>
      <c r="DW51" s="157"/>
      <c r="DX51" s="160"/>
      <c r="DY51" s="161"/>
      <c r="DZ51" s="164"/>
      <c r="EA51" s="165"/>
      <c r="EB51" s="160"/>
      <c r="EC51" s="161"/>
      <c r="ED51" s="164"/>
      <c r="EE51" s="165"/>
      <c r="EF51" s="186"/>
      <c r="EG51" s="190"/>
      <c r="EH51" s="157"/>
      <c r="EI51" s="173"/>
      <c r="EJ51" s="173"/>
      <c r="EK51" s="17">
        <v>2</v>
      </c>
      <c r="EL51" s="17">
        <v>2</v>
      </c>
      <c r="EM51" s="19">
        <v>2</v>
      </c>
      <c r="EN51" s="19">
        <v>2</v>
      </c>
      <c r="EO51" s="19"/>
      <c r="EP51" s="19"/>
      <c r="EQ51" s="19"/>
      <c r="ER51" s="18"/>
      <c r="ES51" s="91"/>
      <c r="ET51" s="91"/>
      <c r="EU51" s="91"/>
      <c r="EV51" s="91"/>
      <c r="EW51" s="91"/>
      <c r="EX51" s="91"/>
      <c r="EY51" s="91"/>
      <c r="EZ51" s="91"/>
      <c r="FA51" s="157"/>
      <c r="FB51" s="157"/>
      <c r="FC51" s="157"/>
      <c r="FD51" s="160"/>
      <c r="FE51" s="161"/>
      <c r="FF51" s="164"/>
      <c r="FG51" s="165"/>
      <c r="FH51" s="160"/>
      <c r="FI51" s="161"/>
      <c r="FJ51" s="164"/>
      <c r="FK51" s="165"/>
      <c r="FL51" s="186"/>
      <c r="FN51" s="57" t="s">
        <v>57</v>
      </c>
      <c r="FO51" s="57" t="s">
        <v>58</v>
      </c>
    </row>
    <row r="52" spans="1:173" ht="6.6" customHeight="1" x14ac:dyDescent="0.2">
      <c r="A52" s="53"/>
      <c r="B52" s="4"/>
      <c r="C52" s="4"/>
      <c r="D52" s="6"/>
      <c r="E52" s="4"/>
      <c r="F52" s="4"/>
      <c r="G52" s="4"/>
      <c r="H52" s="4"/>
      <c r="I52" s="4"/>
      <c r="J52" s="4"/>
      <c r="K52" s="4"/>
      <c r="L52" s="9" t="s">
        <v>17</v>
      </c>
      <c r="M52" s="7" t="s">
        <v>18</v>
      </c>
      <c r="N52" s="9" t="s">
        <v>17</v>
      </c>
      <c r="O52" s="10" t="s">
        <v>18</v>
      </c>
      <c r="P52" s="5" t="s">
        <v>17</v>
      </c>
      <c r="Q52" s="12" t="s">
        <v>18</v>
      </c>
      <c r="R52" s="9" t="s">
        <v>17</v>
      </c>
      <c r="S52" s="10" t="s">
        <v>18</v>
      </c>
      <c r="T52" s="4"/>
      <c r="U52" s="53"/>
      <c r="V52" s="4"/>
      <c r="W52" s="4"/>
      <c r="X52" s="6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9" t="s">
        <v>17</v>
      </c>
      <c r="AK52" s="7" t="s">
        <v>18</v>
      </c>
      <c r="AL52" s="9" t="s">
        <v>17</v>
      </c>
      <c r="AM52" s="10" t="s">
        <v>18</v>
      </c>
      <c r="AN52" s="5" t="s">
        <v>17</v>
      </c>
      <c r="AO52" s="12" t="s">
        <v>18</v>
      </c>
      <c r="AP52" s="9" t="s">
        <v>17</v>
      </c>
      <c r="AQ52" s="10" t="s">
        <v>18</v>
      </c>
      <c r="AR52" s="4"/>
      <c r="AS52" s="53"/>
      <c r="AT52" s="4"/>
      <c r="AU52" s="4"/>
      <c r="AV52" s="6"/>
      <c r="AW52" s="4"/>
      <c r="AX52" s="4"/>
      <c r="AY52" s="4"/>
      <c r="AZ52" s="4"/>
      <c r="BA52" s="4"/>
      <c r="BB52" s="4"/>
      <c r="BC52" s="66"/>
      <c r="BD52" s="66"/>
      <c r="BE52" s="4"/>
      <c r="BF52" s="4"/>
      <c r="BG52" s="4"/>
      <c r="BH52" s="9" t="s">
        <v>17</v>
      </c>
      <c r="BI52" s="7" t="s">
        <v>18</v>
      </c>
      <c r="BJ52" s="9" t="s">
        <v>17</v>
      </c>
      <c r="BK52" s="10" t="s">
        <v>18</v>
      </c>
      <c r="BL52" s="5" t="s">
        <v>17</v>
      </c>
      <c r="BM52" s="12" t="s">
        <v>18</v>
      </c>
      <c r="BN52" s="9" t="s">
        <v>17</v>
      </c>
      <c r="BO52" s="10" t="s">
        <v>18</v>
      </c>
      <c r="BP52" s="4"/>
      <c r="BQ52" s="53"/>
      <c r="BR52" s="4"/>
      <c r="BS52" s="4"/>
      <c r="BT52" s="6"/>
      <c r="BU52" s="4"/>
      <c r="BV52" s="4"/>
      <c r="BW52" s="4"/>
      <c r="BX52" s="4"/>
      <c r="BY52" s="4"/>
      <c r="BZ52" s="4"/>
      <c r="CA52" s="4"/>
      <c r="CB52" s="9" t="s">
        <v>17</v>
      </c>
      <c r="CC52" s="7" t="s">
        <v>18</v>
      </c>
      <c r="CD52" s="9" t="s">
        <v>17</v>
      </c>
      <c r="CE52" s="10" t="s">
        <v>18</v>
      </c>
      <c r="CF52" s="5" t="s">
        <v>17</v>
      </c>
      <c r="CG52" s="12" t="s">
        <v>18</v>
      </c>
      <c r="CH52" s="9" t="s">
        <v>17</v>
      </c>
      <c r="CI52" s="10" t="s">
        <v>18</v>
      </c>
      <c r="CJ52" s="4"/>
      <c r="CK52" s="53"/>
      <c r="CL52" s="4"/>
      <c r="CM52" s="4"/>
      <c r="CN52" s="6"/>
      <c r="CO52" s="66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9" t="s">
        <v>17</v>
      </c>
      <c r="DA52" s="7" t="s">
        <v>18</v>
      </c>
      <c r="DB52" s="9" t="s">
        <v>17</v>
      </c>
      <c r="DC52" s="10" t="s">
        <v>18</v>
      </c>
      <c r="DD52" s="5" t="s">
        <v>17</v>
      </c>
      <c r="DE52" s="12" t="s">
        <v>18</v>
      </c>
      <c r="DF52" s="9" t="s">
        <v>17</v>
      </c>
      <c r="DG52" s="10" t="s">
        <v>18</v>
      </c>
      <c r="DH52" s="4"/>
      <c r="DI52" s="53"/>
      <c r="DJ52" s="4"/>
      <c r="DK52" s="4"/>
      <c r="DL52" s="6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9" t="s">
        <v>17</v>
      </c>
      <c r="DY52" s="7" t="s">
        <v>18</v>
      </c>
      <c r="DZ52" s="9" t="s">
        <v>17</v>
      </c>
      <c r="EA52" s="10" t="s">
        <v>18</v>
      </c>
      <c r="EB52" s="5" t="s">
        <v>17</v>
      </c>
      <c r="EC52" s="12" t="s">
        <v>18</v>
      </c>
      <c r="ED52" s="9" t="s">
        <v>17</v>
      </c>
      <c r="EE52" s="10" t="s">
        <v>18</v>
      </c>
      <c r="EF52" s="4"/>
      <c r="EG52" s="53"/>
      <c r="EH52" s="4"/>
      <c r="EI52" s="4"/>
      <c r="EJ52" s="6"/>
      <c r="EK52" s="4"/>
      <c r="EL52" s="4"/>
      <c r="EM52" s="4"/>
      <c r="EN52" s="66"/>
      <c r="EO52" s="66"/>
      <c r="EP52" s="66"/>
      <c r="EQ52" s="66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9" t="s">
        <v>17</v>
      </c>
      <c r="FE52" s="7" t="s">
        <v>18</v>
      </c>
      <c r="FF52" s="9" t="s">
        <v>17</v>
      </c>
      <c r="FG52" s="10" t="s">
        <v>18</v>
      </c>
      <c r="FH52" s="5" t="s">
        <v>17</v>
      </c>
      <c r="FI52" s="12" t="s">
        <v>18</v>
      </c>
      <c r="FJ52" s="9" t="s">
        <v>17</v>
      </c>
      <c r="FK52" s="10" t="s">
        <v>18</v>
      </c>
      <c r="FL52" s="4"/>
      <c r="FN52" s="1"/>
      <c r="FO52" s="1"/>
      <c r="FQ52" s="96">
        <f>FH77+FH35</f>
        <v>33150</v>
      </c>
    </row>
    <row r="53" spans="1:173" ht="18" customHeight="1" x14ac:dyDescent="0.25">
      <c r="A53" s="16">
        <v>1</v>
      </c>
      <c r="B53" s="234" t="s">
        <v>342</v>
      </c>
      <c r="C53" s="236" t="s">
        <v>21</v>
      </c>
      <c r="D53" s="235" t="s">
        <v>343</v>
      </c>
      <c r="E53" s="112">
        <v>3</v>
      </c>
      <c r="F53" s="112">
        <v>6</v>
      </c>
      <c r="G53" s="112">
        <v>9</v>
      </c>
      <c r="H53" s="112">
        <v>12</v>
      </c>
      <c r="I53" s="112">
        <f t="shared" ref="I53:I75" si="75">COUNT(E53:H53)</f>
        <v>4</v>
      </c>
      <c r="J53" s="112">
        <f>I53*2</f>
        <v>8</v>
      </c>
      <c r="K53" s="112">
        <f>I53/4*100</f>
        <v>100</v>
      </c>
      <c r="L53" s="114">
        <f>I53*50</f>
        <v>200</v>
      </c>
      <c r="M53" s="115"/>
      <c r="N53" s="116">
        <f>IF(K53&lt;=40,0,IF(K53&lt;=60,5,IF(K53&gt;=61,10)))</f>
        <v>10</v>
      </c>
      <c r="O53" s="117"/>
      <c r="P53" s="116">
        <f>L53</f>
        <v>200</v>
      </c>
      <c r="Q53" s="117"/>
      <c r="R53" s="116">
        <f>N53</f>
        <v>10</v>
      </c>
      <c r="S53" s="11"/>
      <c r="T53" s="1"/>
      <c r="U53" s="16">
        <v>1</v>
      </c>
      <c r="V53" s="112" t="s">
        <v>148</v>
      </c>
      <c r="W53" s="112" t="s">
        <v>263</v>
      </c>
      <c r="X53" s="113" t="s">
        <v>162</v>
      </c>
      <c r="Y53" s="78">
        <v>15</v>
      </c>
      <c r="Z53" s="122" t="s">
        <v>23</v>
      </c>
      <c r="AA53" s="78">
        <v>18</v>
      </c>
      <c r="AB53" s="122">
        <v>21</v>
      </c>
      <c r="AC53" s="78" t="s">
        <v>23</v>
      </c>
      <c r="AD53" s="78">
        <v>24</v>
      </c>
      <c r="AE53" s="122">
        <v>27</v>
      </c>
      <c r="AF53" s="78">
        <v>30</v>
      </c>
      <c r="AG53" s="112">
        <f t="shared" ref="AG53:AG74" si="76">COUNT(Y53:AF53)</f>
        <v>6</v>
      </c>
      <c r="AH53" s="112">
        <f>AG53*2</f>
        <v>12</v>
      </c>
      <c r="AI53" s="112">
        <f>AG53/8*100</f>
        <v>75</v>
      </c>
      <c r="AJ53" s="114">
        <f>AG53*50</f>
        <v>300</v>
      </c>
      <c r="AK53" s="115"/>
      <c r="AL53" s="116">
        <f>IF(AI53&lt;=40,0,IF(AI53&lt;=60,5,IF(AI53&gt;=61,10)))</f>
        <v>10</v>
      </c>
      <c r="AM53" s="117"/>
      <c r="AN53" s="116">
        <f t="shared" ref="AN53:AN74" si="77">P53+AJ53</f>
        <v>500</v>
      </c>
      <c r="AO53" s="11"/>
      <c r="AP53" s="124">
        <f t="shared" ref="AP53:AP74" si="78">R53+AL53</f>
        <v>20</v>
      </c>
      <c r="AQ53" s="11"/>
      <c r="AR53" s="1"/>
      <c r="AS53" s="16">
        <v>1</v>
      </c>
      <c r="AT53" s="112" t="s">
        <v>148</v>
      </c>
      <c r="AU53" s="112" t="s">
        <v>263</v>
      </c>
      <c r="AV53" s="113" t="s">
        <v>162</v>
      </c>
      <c r="AW53" s="122">
        <v>33</v>
      </c>
      <c r="AX53" s="78">
        <v>36</v>
      </c>
      <c r="AY53" s="122" t="s">
        <v>23</v>
      </c>
      <c r="AZ53" s="78" t="s">
        <v>23</v>
      </c>
      <c r="BA53" s="122">
        <v>39</v>
      </c>
      <c r="BB53" s="78">
        <v>42</v>
      </c>
      <c r="BC53" s="125">
        <v>45</v>
      </c>
      <c r="BD53" s="125" t="s">
        <v>23</v>
      </c>
      <c r="BE53" s="112">
        <f t="shared" ref="BE53:BE74" si="79">COUNT(AW53:BD53)</f>
        <v>5</v>
      </c>
      <c r="BF53" s="112">
        <f>BE53*2</f>
        <v>10</v>
      </c>
      <c r="BG53" s="112">
        <f>BE53/6*100</f>
        <v>83.333333333333343</v>
      </c>
      <c r="BH53" s="114">
        <f>BE53*50</f>
        <v>250</v>
      </c>
      <c r="BI53" s="115"/>
      <c r="BJ53" s="116">
        <f>IF(BG53&lt;=40,0,IF(BG53&lt;=60,5,IF(BG53&gt;=61,10)))</f>
        <v>10</v>
      </c>
      <c r="BK53" s="117"/>
      <c r="BL53" s="116">
        <f t="shared" ref="BL53:BL74" si="80">AN53+BH53</f>
        <v>750</v>
      </c>
      <c r="BM53" s="117"/>
      <c r="BN53" s="116">
        <f t="shared" ref="BN53:BN74" si="81">AP53+BJ53</f>
        <v>30</v>
      </c>
      <c r="BO53" s="11"/>
      <c r="BP53" s="1"/>
      <c r="BQ53" s="16">
        <v>1</v>
      </c>
      <c r="BR53" s="112" t="s">
        <v>148</v>
      </c>
      <c r="BS53" s="112" t="s">
        <v>263</v>
      </c>
      <c r="BT53" s="113" t="s">
        <v>162</v>
      </c>
      <c r="BU53" s="78">
        <v>48</v>
      </c>
      <c r="BV53" s="78" t="s">
        <v>23</v>
      </c>
      <c r="BW53" s="122">
        <v>42</v>
      </c>
      <c r="BX53" s="122" t="s">
        <v>23</v>
      </c>
      <c r="BY53" s="112">
        <f t="shared" ref="BY53:BY74" si="82">COUNT(BU53:BX53)</f>
        <v>2</v>
      </c>
      <c r="BZ53" s="112">
        <f>BY53*2</f>
        <v>4</v>
      </c>
      <c r="CA53" s="112">
        <f>BY53/4*100</f>
        <v>50</v>
      </c>
      <c r="CB53" s="114">
        <f>BY53*50</f>
        <v>100</v>
      </c>
      <c r="CC53" s="115"/>
      <c r="CD53" s="116">
        <f>IF(CA53&lt;=40,0,IF(CA53&lt;=60,5,IF(CA53&gt;=61,10)))</f>
        <v>5</v>
      </c>
      <c r="CE53" s="117"/>
      <c r="CF53" s="155">
        <f>BL53+CB53</f>
        <v>850</v>
      </c>
      <c r="CG53" s="117"/>
      <c r="CH53" s="116">
        <f>BN53+CD53</f>
        <v>35</v>
      </c>
      <c r="CI53" s="117"/>
      <c r="CJ53" s="123"/>
      <c r="CK53" s="131">
        <v>1</v>
      </c>
      <c r="CL53" s="128" t="s">
        <v>105</v>
      </c>
      <c r="CM53" s="112" t="s">
        <v>261</v>
      </c>
      <c r="CN53" s="113" t="s">
        <v>162</v>
      </c>
      <c r="CO53" s="78"/>
      <c r="CP53" s="78"/>
      <c r="CQ53" s="78"/>
      <c r="CR53" s="78"/>
      <c r="CS53" s="78"/>
      <c r="CT53" s="126"/>
      <c r="CU53" s="112"/>
      <c r="CV53" s="112"/>
      <c r="CW53" s="112">
        <f t="shared" ref="CW53:CW74" si="83">COUNT(CO53:CV53)</f>
        <v>0</v>
      </c>
      <c r="CX53" s="112">
        <f>CW53*2</f>
        <v>0</v>
      </c>
      <c r="CY53" s="112">
        <f>CW53/5*100</f>
        <v>0</v>
      </c>
      <c r="CZ53" s="114">
        <f>CW53*50</f>
        <v>0</v>
      </c>
      <c r="DA53" s="129"/>
      <c r="DB53" s="116">
        <f>IF(CY53&lt;=40,0,IF(CY53&lt;=60,5,IF(CY53&gt;=61,10)))</f>
        <v>0</v>
      </c>
      <c r="DC53" s="130"/>
      <c r="DD53" s="116">
        <f>CF53+CZ53</f>
        <v>850</v>
      </c>
      <c r="DE53" s="130"/>
      <c r="DF53" s="116">
        <f>CH53+DB53</f>
        <v>35</v>
      </c>
      <c r="DG53" s="11"/>
      <c r="DH53" s="1"/>
      <c r="DI53" s="131">
        <v>1</v>
      </c>
      <c r="DJ53" s="112" t="s">
        <v>148</v>
      </c>
      <c r="DK53" s="112" t="s">
        <v>261</v>
      </c>
      <c r="DL53" s="113" t="s">
        <v>162</v>
      </c>
      <c r="DM53" s="78"/>
      <c r="DN53" s="122"/>
      <c r="DO53" s="78"/>
      <c r="DP53" s="122"/>
      <c r="DQ53" s="78"/>
      <c r="DR53" s="122"/>
      <c r="DS53" s="78"/>
      <c r="DT53" s="112"/>
      <c r="DU53" s="112">
        <f t="shared" ref="DU53:DU74" si="84">COUNT(DM53:DT53)</f>
        <v>0</v>
      </c>
      <c r="DV53" s="112">
        <f>DU53*2</f>
        <v>0</v>
      </c>
      <c r="DW53" s="112">
        <f>DU53/6*100</f>
        <v>0</v>
      </c>
      <c r="DX53" s="114">
        <f>DU53*50</f>
        <v>0</v>
      </c>
      <c r="DY53" s="129"/>
      <c r="DZ53" s="116">
        <f>IF(DW53&lt;=40,0,IF(DW53&lt;=60,5,IF(DW53&gt;=61,10)))</f>
        <v>0</v>
      </c>
      <c r="EA53" s="130"/>
      <c r="EB53" s="116">
        <f>DD53+DX53</f>
        <v>850</v>
      </c>
      <c r="EC53" s="130"/>
      <c r="ED53" s="116">
        <f>DF53+DZ53</f>
        <v>35</v>
      </c>
      <c r="EE53" s="11"/>
      <c r="EF53" s="1"/>
      <c r="EG53" s="16">
        <v>1</v>
      </c>
      <c r="EH53" s="112" t="s">
        <v>148</v>
      </c>
      <c r="EI53" s="112" t="s">
        <v>261</v>
      </c>
      <c r="EJ53" s="113" t="s">
        <v>162</v>
      </c>
      <c r="EK53" s="112"/>
      <c r="EL53" s="112"/>
      <c r="EM53" s="112"/>
      <c r="EN53" s="125"/>
      <c r="EO53" s="125"/>
      <c r="EP53" s="125"/>
      <c r="EQ53" s="125"/>
      <c r="ER53" s="112"/>
      <c r="ES53" s="112"/>
      <c r="ET53" s="112"/>
      <c r="EU53" s="112"/>
      <c r="EV53" s="112"/>
      <c r="EW53" s="112"/>
      <c r="EX53" s="112"/>
      <c r="EY53" s="112"/>
      <c r="EZ53" s="112"/>
      <c r="FA53" s="112">
        <f t="shared" ref="FA53:FA74" si="85">COUNT(EK53:ER53)</f>
        <v>0</v>
      </c>
      <c r="FB53" s="112">
        <f>FA53*2</f>
        <v>0</v>
      </c>
      <c r="FC53" s="112">
        <f>FA53/4*100</f>
        <v>0</v>
      </c>
      <c r="FD53" s="114">
        <f>FA53*50</f>
        <v>0</v>
      </c>
      <c r="FE53" s="115"/>
      <c r="FF53" s="116">
        <f>IF(FC53&lt;=40,0,IF(FC53&lt;=60,5,IF(FC53&gt;=61,10)))</f>
        <v>0</v>
      </c>
      <c r="FG53" s="117"/>
      <c r="FH53" s="116">
        <f t="shared" ref="FH53:FH74" si="86">EB53+FD53</f>
        <v>850</v>
      </c>
      <c r="FI53" s="117"/>
      <c r="FJ53" s="116">
        <f t="shared" ref="FJ53:FJ74" si="87">ED53+FF53</f>
        <v>35</v>
      </c>
      <c r="FK53" s="117"/>
      <c r="FL53" s="123"/>
      <c r="FM53" s="126"/>
      <c r="FN53" s="127">
        <f>EN53/3</f>
        <v>0</v>
      </c>
      <c r="FO53" s="127">
        <f>FN53/35*100</f>
        <v>0</v>
      </c>
    </row>
    <row r="54" spans="1:173" ht="20.100000000000001" customHeight="1" x14ac:dyDescent="0.25">
      <c r="A54" s="16">
        <v>2</v>
      </c>
      <c r="B54" s="234" t="s">
        <v>344</v>
      </c>
      <c r="C54" s="236" t="s">
        <v>21</v>
      </c>
      <c r="D54" s="235" t="s">
        <v>345</v>
      </c>
      <c r="E54" s="112" t="s">
        <v>23</v>
      </c>
      <c r="F54" s="112">
        <v>3</v>
      </c>
      <c r="G54" s="112">
        <v>6</v>
      </c>
      <c r="H54" s="112" t="s">
        <v>23</v>
      </c>
      <c r="I54" s="112">
        <f t="shared" si="75"/>
        <v>2</v>
      </c>
      <c r="J54" s="112">
        <f t="shared" ref="J54:J73" si="88">I54*2</f>
        <v>4</v>
      </c>
      <c r="K54" s="112">
        <f>I54/4*100</f>
        <v>50</v>
      </c>
      <c r="L54" s="114">
        <f t="shared" ref="L54:L75" si="89">I54*50</f>
        <v>100</v>
      </c>
      <c r="M54" s="115"/>
      <c r="N54" s="116">
        <f t="shared" ref="N54:N73" si="90">IF(K54&lt;=40,0,IF(K54&lt;=60,5,IF(K54&gt;=61,10)))</f>
        <v>5</v>
      </c>
      <c r="O54" s="117"/>
      <c r="P54" s="116">
        <f t="shared" ref="P54:P73" si="91">L54</f>
        <v>100</v>
      </c>
      <c r="Q54" s="117"/>
      <c r="R54" s="116">
        <f t="shared" ref="R54:R73" si="92">N54</f>
        <v>5</v>
      </c>
      <c r="S54" s="11"/>
      <c r="T54" s="1"/>
      <c r="U54" s="16">
        <v>2</v>
      </c>
      <c r="V54" s="112" t="s">
        <v>149</v>
      </c>
      <c r="W54" s="112" t="s">
        <v>274</v>
      </c>
      <c r="X54" s="118" t="s">
        <v>163</v>
      </c>
      <c r="Y54" s="78">
        <v>15</v>
      </c>
      <c r="Z54" s="122">
        <v>18</v>
      </c>
      <c r="AA54" s="78">
        <v>21</v>
      </c>
      <c r="AB54" s="122">
        <v>24</v>
      </c>
      <c r="AC54" s="78">
        <v>27</v>
      </c>
      <c r="AD54" s="78">
        <v>30</v>
      </c>
      <c r="AE54" s="122">
        <v>33</v>
      </c>
      <c r="AF54" s="78">
        <v>36</v>
      </c>
      <c r="AG54" s="112">
        <f t="shared" si="76"/>
        <v>8</v>
      </c>
      <c r="AH54" s="112">
        <f t="shared" ref="AH54:AH73" si="93">AG54*2</f>
        <v>16</v>
      </c>
      <c r="AI54" s="112">
        <f t="shared" ref="AI54:AI74" si="94">AG54/8*100</f>
        <v>100</v>
      </c>
      <c r="AJ54" s="114">
        <f t="shared" ref="AJ54:AJ74" si="95">AG54*50</f>
        <v>400</v>
      </c>
      <c r="AK54" s="115"/>
      <c r="AL54" s="116">
        <f t="shared" ref="AL54:AL73" si="96">IF(AI54&lt;=40,0,IF(AI54&lt;=60,5,IF(AI54&gt;=61,10)))</f>
        <v>10</v>
      </c>
      <c r="AM54" s="117"/>
      <c r="AN54" s="116">
        <f t="shared" si="77"/>
        <v>500</v>
      </c>
      <c r="AO54" s="11"/>
      <c r="AP54" s="124">
        <f t="shared" si="78"/>
        <v>15</v>
      </c>
      <c r="AQ54" s="11"/>
      <c r="AR54" s="1"/>
      <c r="AS54" s="16">
        <v>2</v>
      </c>
      <c r="AT54" s="112" t="s">
        <v>149</v>
      </c>
      <c r="AU54" s="112" t="s">
        <v>274</v>
      </c>
      <c r="AV54" s="118" t="s">
        <v>163</v>
      </c>
      <c r="AW54" s="122">
        <v>39</v>
      </c>
      <c r="AX54" s="122">
        <v>42</v>
      </c>
      <c r="AY54" s="122" t="s">
        <v>23</v>
      </c>
      <c r="AZ54" s="122">
        <v>45</v>
      </c>
      <c r="BA54" s="122">
        <v>48</v>
      </c>
      <c r="BB54" s="122">
        <v>51</v>
      </c>
      <c r="BC54" s="125">
        <v>54</v>
      </c>
      <c r="BD54" s="125">
        <v>57</v>
      </c>
      <c r="BE54" s="112">
        <f t="shared" si="79"/>
        <v>7</v>
      </c>
      <c r="BF54" s="112">
        <f t="shared" ref="BF54:BF69" si="97">BE54*2</f>
        <v>14</v>
      </c>
      <c r="BG54" s="112">
        <f t="shared" ref="BG54:BG69" si="98">BE54/6*100</f>
        <v>116.66666666666667</v>
      </c>
      <c r="BH54" s="114">
        <f t="shared" ref="BH54:BH74" si="99">BE54*50</f>
        <v>350</v>
      </c>
      <c r="BI54" s="115"/>
      <c r="BJ54" s="116">
        <f t="shared" ref="BJ54:BJ69" si="100">IF(BG54&lt;=40,0,IF(BG54&lt;=60,5,IF(BG54&gt;=61,10)))</f>
        <v>10</v>
      </c>
      <c r="BK54" s="117"/>
      <c r="BL54" s="116">
        <f t="shared" si="80"/>
        <v>850</v>
      </c>
      <c r="BM54" s="117"/>
      <c r="BN54" s="116">
        <f t="shared" si="81"/>
        <v>25</v>
      </c>
      <c r="BO54" s="11"/>
      <c r="BP54" s="1"/>
      <c r="BQ54" s="16">
        <v>2</v>
      </c>
      <c r="BR54" s="112" t="s">
        <v>149</v>
      </c>
      <c r="BS54" s="112" t="s">
        <v>274</v>
      </c>
      <c r="BT54" s="118" t="s">
        <v>163</v>
      </c>
      <c r="BU54" s="122">
        <v>60</v>
      </c>
      <c r="BV54" s="122">
        <v>63</v>
      </c>
      <c r="BW54" s="122">
        <v>66</v>
      </c>
      <c r="BX54" s="122">
        <v>69</v>
      </c>
      <c r="BY54" s="112">
        <f t="shared" si="82"/>
        <v>4</v>
      </c>
      <c r="BZ54" s="112">
        <f t="shared" ref="BZ54:BZ73" si="101">BY54*2</f>
        <v>8</v>
      </c>
      <c r="CA54" s="112">
        <f t="shared" ref="CA54:CA74" si="102">BY54/4*100</f>
        <v>100</v>
      </c>
      <c r="CB54" s="114">
        <f>BY54*50</f>
        <v>200</v>
      </c>
      <c r="CC54" s="115"/>
      <c r="CD54" s="116">
        <f t="shared" ref="CD54:CD73" si="103">IF(CA54&lt;=40,0,IF(CA54&lt;=60,5,IF(CA54&gt;=61,10)))</f>
        <v>10</v>
      </c>
      <c r="CE54" s="117"/>
      <c r="CF54" s="155">
        <f t="shared" ref="CF54:CF74" si="104">BL54+CB54</f>
        <v>1050</v>
      </c>
      <c r="CG54" s="117"/>
      <c r="CH54" s="116">
        <f>BN54+CD54</f>
        <v>35</v>
      </c>
      <c r="CI54" s="117"/>
      <c r="CJ54" s="123"/>
      <c r="CK54" s="131">
        <v>2</v>
      </c>
      <c r="CL54" s="128" t="s">
        <v>107</v>
      </c>
      <c r="CM54" s="112" t="s">
        <v>262</v>
      </c>
      <c r="CN54" s="118" t="s">
        <v>163</v>
      </c>
      <c r="CO54" s="78"/>
      <c r="CP54" s="78"/>
      <c r="CQ54" s="78"/>
      <c r="CR54" s="78"/>
      <c r="CS54" s="78"/>
      <c r="CT54" s="112"/>
      <c r="CU54" s="112"/>
      <c r="CV54" s="112"/>
      <c r="CW54" s="112">
        <f t="shared" si="83"/>
        <v>0</v>
      </c>
      <c r="CX54" s="112">
        <f t="shared" ref="CX54:CX74" si="105">CW54*2</f>
        <v>0</v>
      </c>
      <c r="CY54" s="112">
        <f t="shared" ref="CY54:CY74" si="106">CW54/5*100</f>
        <v>0</v>
      </c>
      <c r="CZ54" s="114">
        <f t="shared" ref="CZ54:CZ74" si="107">CW54*50</f>
        <v>0</v>
      </c>
      <c r="DA54" s="129"/>
      <c r="DB54" s="116">
        <f t="shared" ref="DB54:DB74" si="108">IF(CY54&lt;=40,0,IF(CY54&lt;=60,5,IF(CY54&gt;=61,10)))</f>
        <v>0</v>
      </c>
      <c r="DC54" s="130"/>
      <c r="DD54" s="116">
        <f t="shared" ref="DD54:DD74" si="109">CF54+CZ54</f>
        <v>1050</v>
      </c>
      <c r="DE54" s="130"/>
      <c r="DF54" s="116">
        <f t="shared" ref="DF54:DF74" si="110">CH54+DB54</f>
        <v>35</v>
      </c>
      <c r="DG54" s="11"/>
      <c r="DH54" s="1"/>
      <c r="DI54" s="131">
        <v>2</v>
      </c>
      <c r="DJ54" s="112" t="s">
        <v>149</v>
      </c>
      <c r="DK54" s="112" t="s">
        <v>262</v>
      </c>
      <c r="DL54" s="118" t="s">
        <v>163</v>
      </c>
      <c r="DM54" s="122"/>
      <c r="DN54" s="122"/>
      <c r="DO54" s="122"/>
      <c r="DP54" s="122"/>
      <c r="DQ54" s="122"/>
      <c r="DR54" s="122"/>
      <c r="DS54" s="122"/>
      <c r="DT54" s="112"/>
      <c r="DU54" s="112">
        <f t="shared" si="84"/>
        <v>0</v>
      </c>
      <c r="DV54" s="112">
        <f t="shared" ref="DV54:DV74" si="111">DU54*2</f>
        <v>0</v>
      </c>
      <c r="DW54" s="112">
        <f t="shared" ref="DW54:DW74" si="112">DU54/6*100</f>
        <v>0</v>
      </c>
      <c r="DX54" s="114">
        <f t="shared" ref="DX54:DX74" si="113">DU54*50</f>
        <v>0</v>
      </c>
      <c r="DY54" s="129"/>
      <c r="DZ54" s="116">
        <f t="shared" ref="DZ54:DZ74" si="114">IF(DW54&lt;=40,0,IF(DW54&lt;=60,5,IF(DW54&gt;=61,10)))</f>
        <v>0</v>
      </c>
      <c r="EA54" s="130"/>
      <c r="EB54" s="116">
        <f t="shared" ref="EB54:EB74" si="115">DD54+DX54</f>
        <v>1050</v>
      </c>
      <c r="EC54" s="130"/>
      <c r="ED54" s="116">
        <f t="shared" ref="ED54:ED74" si="116">DF54+DZ54</f>
        <v>35</v>
      </c>
      <c r="EE54" s="11"/>
      <c r="EF54" s="1"/>
      <c r="EG54" s="16">
        <v>2</v>
      </c>
      <c r="EH54" s="112" t="s">
        <v>149</v>
      </c>
      <c r="EI54" s="112" t="s">
        <v>262</v>
      </c>
      <c r="EJ54" s="118" t="s">
        <v>163</v>
      </c>
      <c r="EK54" s="112"/>
      <c r="EL54" s="112"/>
      <c r="EM54" s="112"/>
      <c r="EN54" s="125"/>
      <c r="EO54" s="125"/>
      <c r="EP54" s="125"/>
      <c r="EQ54" s="125"/>
      <c r="ER54" s="112"/>
      <c r="ES54" s="112"/>
      <c r="ET54" s="112"/>
      <c r="EU54" s="112"/>
      <c r="EV54" s="112"/>
      <c r="EW54" s="112"/>
      <c r="EX54" s="112"/>
      <c r="EY54" s="112"/>
      <c r="EZ54" s="112"/>
      <c r="FA54" s="112">
        <f t="shared" si="85"/>
        <v>0</v>
      </c>
      <c r="FB54" s="112">
        <f t="shared" ref="FB54:FB73" si="117">FA54*2</f>
        <v>0</v>
      </c>
      <c r="FC54" s="112">
        <f t="shared" ref="FC54:FC74" si="118">FA54/4*100</f>
        <v>0</v>
      </c>
      <c r="FD54" s="114">
        <f t="shared" ref="FD54:FD74" si="119">FA54*50</f>
        <v>0</v>
      </c>
      <c r="FE54" s="115"/>
      <c r="FF54" s="116">
        <f t="shared" ref="FF54:FF73" si="120">IF(FC54&lt;=40,0,IF(FC54&lt;=60,5,IF(FC54&gt;=61,10)))</f>
        <v>0</v>
      </c>
      <c r="FG54" s="117"/>
      <c r="FH54" s="116">
        <f t="shared" si="86"/>
        <v>1050</v>
      </c>
      <c r="FI54" s="117"/>
      <c r="FJ54" s="116">
        <f t="shared" si="87"/>
        <v>35</v>
      </c>
      <c r="FK54" s="117"/>
      <c r="FL54" s="123"/>
      <c r="FM54" s="126"/>
      <c r="FN54" s="127">
        <f t="shared" ref="FN54:FN58" si="121">EN54/3</f>
        <v>0</v>
      </c>
      <c r="FO54" s="127">
        <f t="shared" ref="FO54:FO74" si="122">FN54/35*100</f>
        <v>0</v>
      </c>
    </row>
    <row r="55" spans="1:173" ht="20.100000000000001" customHeight="1" x14ac:dyDescent="0.25">
      <c r="A55" s="16">
        <v>3</v>
      </c>
      <c r="B55" s="234" t="s">
        <v>346</v>
      </c>
      <c r="C55" s="236" t="s">
        <v>21</v>
      </c>
      <c r="D55" s="235" t="s">
        <v>347</v>
      </c>
      <c r="E55" s="112">
        <v>3</v>
      </c>
      <c r="F55" s="112">
        <v>6</v>
      </c>
      <c r="G55" s="112">
        <v>9</v>
      </c>
      <c r="H55" s="112">
        <v>12</v>
      </c>
      <c r="I55" s="112">
        <f t="shared" si="75"/>
        <v>4</v>
      </c>
      <c r="J55" s="112">
        <f t="shared" si="88"/>
        <v>8</v>
      </c>
      <c r="K55" s="112">
        <f t="shared" ref="K55:K75" si="123">I55/4*100</f>
        <v>100</v>
      </c>
      <c r="L55" s="114">
        <f t="shared" si="89"/>
        <v>200</v>
      </c>
      <c r="M55" s="115"/>
      <c r="N55" s="116">
        <f t="shared" si="90"/>
        <v>10</v>
      </c>
      <c r="O55" s="117"/>
      <c r="P55" s="116">
        <f t="shared" si="91"/>
        <v>200</v>
      </c>
      <c r="Q55" s="117"/>
      <c r="R55" s="116">
        <f t="shared" si="92"/>
        <v>10</v>
      </c>
      <c r="S55" s="11"/>
      <c r="T55" s="1"/>
      <c r="U55" s="16">
        <v>3</v>
      </c>
      <c r="V55" s="112" t="s">
        <v>150</v>
      </c>
      <c r="W55" s="112" t="s">
        <v>21</v>
      </c>
      <c r="X55" s="118" t="s">
        <v>164</v>
      </c>
      <c r="Y55" s="78" t="s">
        <v>23</v>
      </c>
      <c r="Z55" s="122">
        <v>9</v>
      </c>
      <c r="AA55" s="78" t="s">
        <v>23</v>
      </c>
      <c r="AB55" s="122">
        <v>12</v>
      </c>
      <c r="AC55" s="78" t="s">
        <v>23</v>
      </c>
      <c r="AD55" s="78">
        <v>15</v>
      </c>
      <c r="AE55" s="122" t="s">
        <v>23</v>
      </c>
      <c r="AF55" s="78" t="s">
        <v>23</v>
      </c>
      <c r="AG55" s="112">
        <f t="shared" si="76"/>
        <v>3</v>
      </c>
      <c r="AH55" s="112">
        <f t="shared" si="93"/>
        <v>6</v>
      </c>
      <c r="AI55" s="112">
        <f t="shared" si="94"/>
        <v>37.5</v>
      </c>
      <c r="AJ55" s="114">
        <f t="shared" si="95"/>
        <v>150</v>
      </c>
      <c r="AK55" s="115"/>
      <c r="AL55" s="116">
        <f t="shared" si="96"/>
        <v>0</v>
      </c>
      <c r="AM55" s="117"/>
      <c r="AN55" s="116">
        <f t="shared" si="77"/>
        <v>350</v>
      </c>
      <c r="AO55" s="11"/>
      <c r="AP55" s="124">
        <f t="shared" si="78"/>
        <v>10</v>
      </c>
      <c r="AQ55" s="11"/>
      <c r="AR55" s="1"/>
      <c r="AS55" s="16">
        <v>3</v>
      </c>
      <c r="AT55" s="112" t="s">
        <v>150</v>
      </c>
      <c r="AU55" s="112" t="s">
        <v>21</v>
      </c>
      <c r="AV55" s="118" t="s">
        <v>164</v>
      </c>
      <c r="AW55" s="122" t="s">
        <v>23</v>
      </c>
      <c r="AX55" s="122">
        <v>18</v>
      </c>
      <c r="AY55" s="122" t="s">
        <v>23</v>
      </c>
      <c r="AZ55" s="122">
        <v>21</v>
      </c>
      <c r="BA55" s="122" t="s">
        <v>23</v>
      </c>
      <c r="BB55" s="122" t="s">
        <v>23</v>
      </c>
      <c r="BC55" s="125">
        <v>24</v>
      </c>
      <c r="BD55" s="125" t="s">
        <v>23</v>
      </c>
      <c r="BE55" s="112">
        <f t="shared" si="79"/>
        <v>3</v>
      </c>
      <c r="BF55" s="112">
        <f t="shared" si="97"/>
        <v>6</v>
      </c>
      <c r="BG55" s="112">
        <f t="shared" si="98"/>
        <v>50</v>
      </c>
      <c r="BH55" s="114">
        <f t="shared" si="99"/>
        <v>150</v>
      </c>
      <c r="BI55" s="115"/>
      <c r="BJ55" s="116">
        <f t="shared" si="100"/>
        <v>5</v>
      </c>
      <c r="BK55" s="117"/>
      <c r="BL55" s="116">
        <f t="shared" si="80"/>
        <v>500</v>
      </c>
      <c r="BM55" s="117"/>
      <c r="BN55" s="116">
        <f t="shared" si="81"/>
        <v>15</v>
      </c>
      <c r="BO55" s="11"/>
      <c r="BP55" s="1"/>
      <c r="BQ55" s="16">
        <v>3</v>
      </c>
      <c r="BR55" s="112" t="s">
        <v>150</v>
      </c>
      <c r="BS55" s="112" t="s">
        <v>21</v>
      </c>
      <c r="BT55" s="118" t="s">
        <v>164</v>
      </c>
      <c r="BU55" s="122" t="s">
        <v>23</v>
      </c>
      <c r="BV55" s="122">
        <v>27</v>
      </c>
      <c r="BW55" s="122" t="s">
        <v>23</v>
      </c>
      <c r="BX55" s="122" t="s">
        <v>23</v>
      </c>
      <c r="BY55" s="112">
        <f t="shared" si="82"/>
        <v>1</v>
      </c>
      <c r="BZ55" s="112">
        <f t="shared" si="101"/>
        <v>2</v>
      </c>
      <c r="CA55" s="112">
        <f t="shared" si="102"/>
        <v>25</v>
      </c>
      <c r="CB55" s="114">
        <f t="shared" ref="CB55:CB74" si="124">BY55*50</f>
        <v>50</v>
      </c>
      <c r="CC55" s="115"/>
      <c r="CD55" s="116">
        <f t="shared" si="103"/>
        <v>0</v>
      </c>
      <c r="CE55" s="117"/>
      <c r="CF55" s="155">
        <f t="shared" si="104"/>
        <v>550</v>
      </c>
      <c r="CG55" s="116"/>
      <c r="CH55" s="116">
        <f t="shared" ref="CH55:CH74" si="125">BN55+CD55</f>
        <v>15</v>
      </c>
      <c r="CI55" s="117"/>
      <c r="CJ55" s="123"/>
      <c r="CK55" s="131">
        <v>3</v>
      </c>
      <c r="CL55" s="128" t="s">
        <v>109</v>
      </c>
      <c r="CM55" s="112" t="s">
        <v>21</v>
      </c>
      <c r="CN55" s="118" t="s">
        <v>164</v>
      </c>
      <c r="CO55" s="78"/>
      <c r="CP55" s="78"/>
      <c r="CQ55" s="78"/>
      <c r="CR55" s="78"/>
      <c r="CS55" s="78"/>
      <c r="CT55" s="112"/>
      <c r="CU55" s="112"/>
      <c r="CV55" s="112"/>
      <c r="CW55" s="112">
        <f t="shared" si="83"/>
        <v>0</v>
      </c>
      <c r="CX55" s="112">
        <f t="shared" si="105"/>
        <v>0</v>
      </c>
      <c r="CY55" s="112">
        <f t="shared" si="106"/>
        <v>0</v>
      </c>
      <c r="CZ55" s="114">
        <f t="shared" si="107"/>
        <v>0</v>
      </c>
      <c r="DA55" s="129"/>
      <c r="DB55" s="116">
        <f t="shared" si="108"/>
        <v>0</v>
      </c>
      <c r="DC55" s="130"/>
      <c r="DD55" s="116">
        <f t="shared" si="109"/>
        <v>550</v>
      </c>
      <c r="DE55" s="130"/>
      <c r="DF55" s="116">
        <f t="shared" si="110"/>
        <v>15</v>
      </c>
      <c r="DG55" s="11"/>
      <c r="DH55" s="1"/>
      <c r="DI55" s="131">
        <v>3</v>
      </c>
      <c r="DJ55" s="112" t="s">
        <v>150</v>
      </c>
      <c r="DK55" s="112" t="s">
        <v>21</v>
      </c>
      <c r="DL55" s="118" t="s">
        <v>164</v>
      </c>
      <c r="DM55" s="122"/>
      <c r="DN55" s="78"/>
      <c r="DO55" s="122"/>
      <c r="DP55" s="122"/>
      <c r="DQ55" s="122"/>
      <c r="DR55" s="122"/>
      <c r="DS55" s="122"/>
      <c r="DT55" s="112"/>
      <c r="DU55" s="112">
        <f t="shared" si="84"/>
        <v>0</v>
      </c>
      <c r="DV55" s="112">
        <f t="shared" si="111"/>
        <v>0</v>
      </c>
      <c r="DW55" s="112">
        <f t="shared" si="112"/>
        <v>0</v>
      </c>
      <c r="DX55" s="114">
        <f t="shared" si="113"/>
        <v>0</v>
      </c>
      <c r="DY55" s="129"/>
      <c r="DZ55" s="116">
        <f t="shared" si="114"/>
        <v>0</v>
      </c>
      <c r="EA55" s="130"/>
      <c r="EB55" s="116">
        <f t="shared" si="115"/>
        <v>550</v>
      </c>
      <c r="EC55" s="130"/>
      <c r="ED55" s="116">
        <f t="shared" si="116"/>
        <v>15</v>
      </c>
      <c r="EE55" s="11"/>
      <c r="EF55" s="1"/>
      <c r="EG55" s="16">
        <v>3</v>
      </c>
      <c r="EH55" s="112" t="s">
        <v>150</v>
      </c>
      <c r="EI55" s="112" t="s">
        <v>21</v>
      </c>
      <c r="EJ55" s="118" t="s">
        <v>164</v>
      </c>
      <c r="EK55" s="112"/>
      <c r="EL55" s="112"/>
      <c r="EM55" s="112"/>
      <c r="EN55" s="125"/>
      <c r="EO55" s="125"/>
      <c r="EP55" s="125"/>
      <c r="EQ55" s="125"/>
      <c r="ER55" s="112"/>
      <c r="ES55" s="112"/>
      <c r="ET55" s="112"/>
      <c r="EU55" s="112"/>
      <c r="EV55" s="112"/>
      <c r="EW55" s="112"/>
      <c r="EX55" s="112"/>
      <c r="EY55" s="112"/>
      <c r="EZ55" s="112"/>
      <c r="FA55" s="112">
        <f t="shared" si="85"/>
        <v>0</v>
      </c>
      <c r="FB55" s="112">
        <f t="shared" si="117"/>
        <v>0</v>
      </c>
      <c r="FC55" s="112">
        <f t="shared" si="118"/>
        <v>0</v>
      </c>
      <c r="FD55" s="114">
        <f t="shared" si="119"/>
        <v>0</v>
      </c>
      <c r="FE55" s="115"/>
      <c r="FF55" s="116">
        <f t="shared" si="120"/>
        <v>0</v>
      </c>
      <c r="FG55" s="117"/>
      <c r="FH55" s="116">
        <f t="shared" si="86"/>
        <v>550</v>
      </c>
      <c r="FI55" s="117"/>
      <c r="FJ55" s="116">
        <f t="shared" si="87"/>
        <v>15</v>
      </c>
      <c r="FK55" s="117"/>
      <c r="FL55" s="123"/>
      <c r="FM55" s="126"/>
      <c r="FN55" s="127">
        <f t="shared" si="121"/>
        <v>0</v>
      </c>
      <c r="FO55" s="127">
        <f t="shared" si="122"/>
        <v>0</v>
      </c>
    </row>
    <row r="56" spans="1:173" ht="20.100000000000001" customHeight="1" x14ac:dyDescent="0.25">
      <c r="A56" s="16">
        <v>4</v>
      </c>
      <c r="B56" s="234" t="s">
        <v>348</v>
      </c>
      <c r="C56" s="237" t="s">
        <v>21</v>
      </c>
      <c r="D56" s="235" t="s">
        <v>349</v>
      </c>
      <c r="E56" s="112" t="s">
        <v>23</v>
      </c>
      <c r="F56" s="112" t="s">
        <v>23</v>
      </c>
      <c r="G56" s="112" t="s">
        <v>23</v>
      </c>
      <c r="H56" s="112" t="s">
        <v>23</v>
      </c>
      <c r="I56" s="112">
        <f t="shared" si="75"/>
        <v>0</v>
      </c>
      <c r="J56" s="112">
        <f t="shared" si="88"/>
        <v>0</v>
      </c>
      <c r="K56" s="112">
        <f t="shared" si="123"/>
        <v>0</v>
      </c>
      <c r="L56" s="114">
        <f t="shared" si="89"/>
        <v>0</v>
      </c>
      <c r="M56" s="115"/>
      <c r="N56" s="116">
        <f t="shared" si="90"/>
        <v>0</v>
      </c>
      <c r="O56" s="117"/>
      <c r="P56" s="116">
        <f t="shared" si="91"/>
        <v>0</v>
      </c>
      <c r="Q56" s="117"/>
      <c r="R56" s="116">
        <f t="shared" si="92"/>
        <v>0</v>
      </c>
      <c r="S56" s="11"/>
      <c r="T56" s="1"/>
      <c r="U56" s="16">
        <v>4</v>
      </c>
      <c r="V56" s="112" t="s">
        <v>151</v>
      </c>
      <c r="W56" s="112" t="s">
        <v>263</v>
      </c>
      <c r="X56" s="113" t="s">
        <v>165</v>
      </c>
      <c r="Y56" s="78">
        <v>12</v>
      </c>
      <c r="Z56" s="122">
        <v>15</v>
      </c>
      <c r="AA56" s="78">
        <v>18</v>
      </c>
      <c r="AB56" s="122">
        <v>21</v>
      </c>
      <c r="AC56" s="78">
        <v>24</v>
      </c>
      <c r="AD56" s="78" t="s">
        <v>23</v>
      </c>
      <c r="AE56" s="122">
        <v>27</v>
      </c>
      <c r="AF56" s="78">
        <v>30</v>
      </c>
      <c r="AG56" s="112">
        <f t="shared" si="76"/>
        <v>7</v>
      </c>
      <c r="AH56" s="112">
        <f t="shared" si="93"/>
        <v>14</v>
      </c>
      <c r="AI56" s="112">
        <f t="shared" si="94"/>
        <v>87.5</v>
      </c>
      <c r="AJ56" s="114">
        <f t="shared" si="95"/>
        <v>350</v>
      </c>
      <c r="AK56" s="115"/>
      <c r="AL56" s="116">
        <f t="shared" si="96"/>
        <v>10</v>
      </c>
      <c r="AM56" s="117"/>
      <c r="AN56" s="116">
        <f t="shared" si="77"/>
        <v>350</v>
      </c>
      <c r="AO56" s="11"/>
      <c r="AP56" s="124">
        <f t="shared" si="78"/>
        <v>10</v>
      </c>
      <c r="AQ56" s="11"/>
      <c r="AR56" s="1"/>
      <c r="AS56" s="16">
        <v>4</v>
      </c>
      <c r="AT56" s="112" t="s">
        <v>151</v>
      </c>
      <c r="AU56" s="112" t="s">
        <v>331</v>
      </c>
      <c r="AV56" s="113" t="s">
        <v>165</v>
      </c>
      <c r="AW56" s="78">
        <v>33</v>
      </c>
      <c r="AX56" s="122">
        <v>36</v>
      </c>
      <c r="AY56" s="78">
        <v>39</v>
      </c>
      <c r="AZ56" s="122">
        <v>42</v>
      </c>
      <c r="BA56" s="78">
        <v>45</v>
      </c>
      <c r="BB56" s="122">
        <v>48</v>
      </c>
      <c r="BC56" s="125">
        <v>51</v>
      </c>
      <c r="BD56" s="125">
        <v>54</v>
      </c>
      <c r="BE56" s="112">
        <f t="shared" si="79"/>
        <v>8</v>
      </c>
      <c r="BF56" s="112">
        <f t="shared" si="97"/>
        <v>16</v>
      </c>
      <c r="BG56" s="112">
        <f t="shared" si="98"/>
        <v>133.33333333333331</v>
      </c>
      <c r="BH56" s="114">
        <f t="shared" si="99"/>
        <v>400</v>
      </c>
      <c r="BI56" s="115"/>
      <c r="BJ56" s="116">
        <f t="shared" si="100"/>
        <v>10</v>
      </c>
      <c r="BK56" s="117"/>
      <c r="BL56" s="116">
        <f t="shared" si="80"/>
        <v>750</v>
      </c>
      <c r="BM56" s="117"/>
      <c r="BN56" s="116">
        <f t="shared" si="81"/>
        <v>20</v>
      </c>
      <c r="BO56" s="11"/>
      <c r="BP56" s="1"/>
      <c r="BQ56" s="16">
        <v>4</v>
      </c>
      <c r="BR56" s="112" t="s">
        <v>151</v>
      </c>
      <c r="BS56" s="112" t="s">
        <v>263</v>
      </c>
      <c r="BT56" s="113" t="s">
        <v>165</v>
      </c>
      <c r="BU56" s="122">
        <v>57</v>
      </c>
      <c r="BV56" s="122">
        <v>60</v>
      </c>
      <c r="BW56" s="122">
        <v>63</v>
      </c>
      <c r="BX56" s="122">
        <v>66</v>
      </c>
      <c r="BY56" s="112">
        <f t="shared" si="82"/>
        <v>4</v>
      </c>
      <c r="BZ56" s="112">
        <f t="shared" si="101"/>
        <v>8</v>
      </c>
      <c r="CA56" s="112">
        <f t="shared" si="102"/>
        <v>100</v>
      </c>
      <c r="CB56" s="114">
        <f t="shared" si="124"/>
        <v>200</v>
      </c>
      <c r="CC56" s="115"/>
      <c r="CD56" s="116">
        <f t="shared" si="103"/>
        <v>10</v>
      </c>
      <c r="CE56" s="117"/>
      <c r="CF56" s="155">
        <f t="shared" si="104"/>
        <v>950</v>
      </c>
      <c r="CG56" s="117"/>
      <c r="CH56" s="116">
        <f t="shared" si="125"/>
        <v>30</v>
      </c>
      <c r="CI56" s="117"/>
      <c r="CJ56" s="123"/>
      <c r="CK56" s="131">
        <v>4</v>
      </c>
      <c r="CL56" s="128" t="s">
        <v>111</v>
      </c>
      <c r="CM56" s="112" t="s">
        <v>263</v>
      </c>
      <c r="CN56" s="113" t="s">
        <v>165</v>
      </c>
      <c r="CO56" s="78"/>
      <c r="CP56" s="78"/>
      <c r="CQ56" s="78"/>
      <c r="CR56" s="78"/>
      <c r="CS56" s="78"/>
      <c r="CT56" s="112"/>
      <c r="CU56" s="112"/>
      <c r="CV56" s="112"/>
      <c r="CW56" s="112">
        <f t="shared" si="83"/>
        <v>0</v>
      </c>
      <c r="CX56" s="112">
        <f t="shared" si="105"/>
        <v>0</v>
      </c>
      <c r="CY56" s="112">
        <f t="shared" si="106"/>
        <v>0</v>
      </c>
      <c r="CZ56" s="114">
        <f t="shared" si="107"/>
        <v>0</v>
      </c>
      <c r="DA56" s="129"/>
      <c r="DB56" s="116">
        <f t="shared" si="108"/>
        <v>0</v>
      </c>
      <c r="DC56" s="130"/>
      <c r="DD56" s="116">
        <f t="shared" si="109"/>
        <v>950</v>
      </c>
      <c r="DE56" s="130"/>
      <c r="DF56" s="116">
        <f t="shared" si="110"/>
        <v>30</v>
      </c>
      <c r="DG56" s="11"/>
      <c r="DH56" s="1"/>
      <c r="DI56" s="131">
        <v>4</v>
      </c>
      <c r="DJ56" s="112" t="s">
        <v>151</v>
      </c>
      <c r="DK56" s="112" t="s">
        <v>263</v>
      </c>
      <c r="DL56" s="113" t="s">
        <v>165</v>
      </c>
      <c r="DM56" s="122"/>
      <c r="DN56" s="122"/>
      <c r="DO56" s="122"/>
      <c r="DP56" s="122"/>
      <c r="DQ56" s="122"/>
      <c r="DR56" s="78"/>
      <c r="DS56" s="122"/>
      <c r="DT56" s="112"/>
      <c r="DU56" s="112">
        <f t="shared" si="84"/>
        <v>0</v>
      </c>
      <c r="DV56" s="112">
        <f t="shared" si="111"/>
        <v>0</v>
      </c>
      <c r="DW56" s="112">
        <f t="shared" si="112"/>
        <v>0</v>
      </c>
      <c r="DX56" s="114">
        <f t="shared" si="113"/>
        <v>0</v>
      </c>
      <c r="DY56" s="129"/>
      <c r="DZ56" s="116">
        <f t="shared" si="114"/>
        <v>0</v>
      </c>
      <c r="EA56" s="130"/>
      <c r="EB56" s="116">
        <f t="shared" si="115"/>
        <v>950</v>
      </c>
      <c r="EC56" s="130"/>
      <c r="ED56" s="116">
        <f t="shared" si="116"/>
        <v>30</v>
      </c>
      <c r="EE56" s="11"/>
      <c r="EF56" s="1"/>
      <c r="EG56" s="16">
        <v>4</v>
      </c>
      <c r="EH56" s="112" t="s">
        <v>151</v>
      </c>
      <c r="EI56" s="112" t="s">
        <v>263</v>
      </c>
      <c r="EJ56" s="113" t="s">
        <v>165</v>
      </c>
      <c r="EK56" s="123"/>
      <c r="EL56" s="123"/>
      <c r="EM56" s="123"/>
      <c r="EN56" s="123"/>
      <c r="EO56" s="123"/>
      <c r="EP56" s="123"/>
      <c r="EQ56" s="123"/>
      <c r="ER56" s="112"/>
      <c r="ES56" s="112"/>
      <c r="ET56" s="112"/>
      <c r="EU56" s="112"/>
      <c r="EV56" s="112"/>
      <c r="EW56" s="112"/>
      <c r="EX56" s="112"/>
      <c r="EY56" s="112"/>
      <c r="EZ56" s="112"/>
      <c r="FA56" s="112">
        <f t="shared" si="85"/>
        <v>0</v>
      </c>
      <c r="FB56" s="112">
        <f t="shared" si="117"/>
        <v>0</v>
      </c>
      <c r="FC56" s="112">
        <f t="shared" si="118"/>
        <v>0</v>
      </c>
      <c r="FD56" s="114">
        <f t="shared" si="119"/>
        <v>0</v>
      </c>
      <c r="FE56" s="115"/>
      <c r="FF56" s="116">
        <f t="shared" si="120"/>
        <v>0</v>
      </c>
      <c r="FG56" s="117"/>
      <c r="FH56" s="116">
        <f t="shared" si="86"/>
        <v>950</v>
      </c>
      <c r="FI56" s="117"/>
      <c r="FJ56" s="116">
        <f t="shared" si="87"/>
        <v>30</v>
      </c>
      <c r="FK56" s="117"/>
      <c r="FL56" s="123"/>
      <c r="FM56" s="126"/>
      <c r="FN56" s="127">
        <f t="shared" si="121"/>
        <v>0</v>
      </c>
      <c r="FO56" s="127">
        <f t="shared" si="122"/>
        <v>0</v>
      </c>
    </row>
    <row r="57" spans="1:173" ht="20.100000000000001" customHeight="1" x14ac:dyDescent="0.25">
      <c r="A57" s="16">
        <v>5</v>
      </c>
      <c r="B57" s="234" t="s">
        <v>350</v>
      </c>
      <c r="C57" s="233" t="s">
        <v>21</v>
      </c>
      <c r="D57" s="235" t="s">
        <v>351</v>
      </c>
      <c r="E57" s="112">
        <v>3</v>
      </c>
      <c r="F57" s="112">
        <v>6</v>
      </c>
      <c r="G57" s="112">
        <v>9</v>
      </c>
      <c r="H57" s="112">
        <v>12</v>
      </c>
      <c r="I57" s="112">
        <f t="shared" si="75"/>
        <v>4</v>
      </c>
      <c r="J57" s="112">
        <f t="shared" si="88"/>
        <v>8</v>
      </c>
      <c r="K57" s="112">
        <f t="shared" si="123"/>
        <v>100</v>
      </c>
      <c r="L57" s="114">
        <f t="shared" si="89"/>
        <v>200</v>
      </c>
      <c r="M57" s="115"/>
      <c r="N57" s="116">
        <f t="shared" si="90"/>
        <v>10</v>
      </c>
      <c r="O57" s="117"/>
      <c r="P57" s="116">
        <f t="shared" si="91"/>
        <v>200</v>
      </c>
      <c r="Q57" s="117"/>
      <c r="R57" s="116">
        <f t="shared" si="92"/>
        <v>10</v>
      </c>
      <c r="S57" s="11"/>
      <c r="T57" s="1"/>
      <c r="U57" s="16">
        <v>5</v>
      </c>
      <c r="V57" s="112" t="s">
        <v>152</v>
      </c>
      <c r="W57" s="112" t="s">
        <v>262</v>
      </c>
      <c r="X57" s="113" t="s">
        <v>166</v>
      </c>
      <c r="Y57" s="78">
        <v>15</v>
      </c>
      <c r="Z57" s="122">
        <v>18</v>
      </c>
      <c r="AA57" s="78">
        <v>21</v>
      </c>
      <c r="AB57" s="122">
        <v>24</v>
      </c>
      <c r="AC57" s="78">
        <v>27</v>
      </c>
      <c r="AD57" s="78">
        <v>30</v>
      </c>
      <c r="AE57" s="122">
        <v>33</v>
      </c>
      <c r="AF57" s="78">
        <v>36</v>
      </c>
      <c r="AG57" s="112">
        <f t="shared" si="76"/>
        <v>8</v>
      </c>
      <c r="AH57" s="112">
        <f t="shared" si="93"/>
        <v>16</v>
      </c>
      <c r="AI57" s="112">
        <f t="shared" si="94"/>
        <v>100</v>
      </c>
      <c r="AJ57" s="114">
        <f t="shared" si="95"/>
        <v>400</v>
      </c>
      <c r="AK57" s="115"/>
      <c r="AL57" s="116">
        <f t="shared" si="96"/>
        <v>10</v>
      </c>
      <c r="AM57" s="117"/>
      <c r="AN57" s="116">
        <f t="shared" si="77"/>
        <v>600</v>
      </c>
      <c r="AO57" s="11"/>
      <c r="AP57" s="124">
        <f t="shared" si="78"/>
        <v>20</v>
      </c>
      <c r="AQ57" s="11"/>
      <c r="AR57" s="1"/>
      <c r="AS57" s="16">
        <v>5</v>
      </c>
      <c r="AT57" s="112" t="s">
        <v>152</v>
      </c>
      <c r="AU57" s="112" t="s">
        <v>262</v>
      </c>
      <c r="AV57" s="113" t="s">
        <v>166</v>
      </c>
      <c r="AW57" s="122" t="s">
        <v>23</v>
      </c>
      <c r="AX57" s="122" t="s">
        <v>23</v>
      </c>
      <c r="AY57" s="122">
        <v>39</v>
      </c>
      <c r="AZ57" s="122" t="s">
        <v>23</v>
      </c>
      <c r="BA57" s="122" t="s">
        <v>23</v>
      </c>
      <c r="BB57" s="122" t="s">
        <v>23</v>
      </c>
      <c r="BC57" s="125">
        <v>42</v>
      </c>
      <c r="BD57" s="125">
        <v>45</v>
      </c>
      <c r="BE57" s="112">
        <f t="shared" si="79"/>
        <v>3</v>
      </c>
      <c r="BF57" s="112">
        <f t="shared" si="97"/>
        <v>6</v>
      </c>
      <c r="BG57" s="112">
        <f t="shared" si="98"/>
        <v>50</v>
      </c>
      <c r="BH57" s="114">
        <f t="shared" si="99"/>
        <v>150</v>
      </c>
      <c r="BI57" s="115"/>
      <c r="BJ57" s="116">
        <f t="shared" si="100"/>
        <v>5</v>
      </c>
      <c r="BK57" s="117"/>
      <c r="BL57" s="116">
        <f t="shared" si="80"/>
        <v>750</v>
      </c>
      <c r="BM57" s="117"/>
      <c r="BN57" s="116">
        <f t="shared" si="81"/>
        <v>25</v>
      </c>
      <c r="BO57" s="11"/>
      <c r="BP57" s="1"/>
      <c r="BQ57" s="16">
        <v>5</v>
      </c>
      <c r="BR57" s="112" t="s">
        <v>152</v>
      </c>
      <c r="BS57" s="112" t="s">
        <v>262</v>
      </c>
      <c r="BT57" s="113" t="s">
        <v>166</v>
      </c>
      <c r="BU57" s="122">
        <v>48</v>
      </c>
      <c r="BV57" s="122">
        <v>51</v>
      </c>
      <c r="BW57" s="122">
        <v>54</v>
      </c>
      <c r="BX57" s="122">
        <v>57</v>
      </c>
      <c r="BY57" s="112">
        <f t="shared" si="82"/>
        <v>4</v>
      </c>
      <c r="BZ57" s="112">
        <f t="shared" si="101"/>
        <v>8</v>
      </c>
      <c r="CA57" s="112">
        <f t="shared" si="102"/>
        <v>100</v>
      </c>
      <c r="CB57" s="114">
        <f t="shared" si="124"/>
        <v>200</v>
      </c>
      <c r="CC57" s="115"/>
      <c r="CD57" s="116">
        <f t="shared" si="103"/>
        <v>10</v>
      </c>
      <c r="CE57" s="117"/>
      <c r="CF57" s="155">
        <f t="shared" si="104"/>
        <v>950</v>
      </c>
      <c r="CG57" s="117"/>
      <c r="CH57" s="116">
        <f t="shared" si="125"/>
        <v>35</v>
      </c>
      <c r="CI57" s="117"/>
      <c r="CJ57" s="123"/>
      <c r="CK57" s="131">
        <v>5</v>
      </c>
      <c r="CL57" s="128" t="s">
        <v>113</v>
      </c>
      <c r="CM57" s="112" t="s">
        <v>263</v>
      </c>
      <c r="CN57" s="113" t="s">
        <v>166</v>
      </c>
      <c r="CO57" s="78"/>
      <c r="CP57" s="78"/>
      <c r="CQ57" s="78"/>
      <c r="CR57" s="78"/>
      <c r="CS57" s="78"/>
      <c r="CT57" s="112"/>
      <c r="CU57" s="112"/>
      <c r="CV57" s="112"/>
      <c r="CW57" s="112">
        <f t="shared" si="83"/>
        <v>0</v>
      </c>
      <c r="CX57" s="112">
        <f t="shared" si="105"/>
        <v>0</v>
      </c>
      <c r="CY57" s="112">
        <f t="shared" si="106"/>
        <v>0</v>
      </c>
      <c r="CZ57" s="114">
        <f t="shared" si="107"/>
        <v>0</v>
      </c>
      <c r="DA57" s="129"/>
      <c r="DB57" s="116">
        <f t="shared" si="108"/>
        <v>0</v>
      </c>
      <c r="DC57" s="130"/>
      <c r="DD57" s="116">
        <f t="shared" si="109"/>
        <v>950</v>
      </c>
      <c r="DE57" s="130"/>
      <c r="DF57" s="116">
        <f t="shared" si="110"/>
        <v>35</v>
      </c>
      <c r="DG57" s="11"/>
      <c r="DH57" s="1"/>
      <c r="DI57" s="131">
        <v>5</v>
      </c>
      <c r="DJ57" s="112" t="s">
        <v>152</v>
      </c>
      <c r="DK57" s="112" t="s">
        <v>263</v>
      </c>
      <c r="DL57" s="113" t="s">
        <v>166</v>
      </c>
      <c r="DM57" s="122"/>
      <c r="DN57" s="122"/>
      <c r="DO57" s="122"/>
      <c r="DP57" s="122"/>
      <c r="DQ57" s="122"/>
      <c r="DR57" s="122"/>
      <c r="DS57" s="122"/>
      <c r="DT57" s="112"/>
      <c r="DU57" s="112">
        <f t="shared" si="84"/>
        <v>0</v>
      </c>
      <c r="DV57" s="112">
        <f t="shared" si="111"/>
        <v>0</v>
      </c>
      <c r="DW57" s="112">
        <f t="shared" si="112"/>
        <v>0</v>
      </c>
      <c r="DX57" s="114">
        <f t="shared" si="113"/>
        <v>0</v>
      </c>
      <c r="DY57" s="129"/>
      <c r="DZ57" s="116">
        <f t="shared" si="114"/>
        <v>0</v>
      </c>
      <c r="EA57" s="130"/>
      <c r="EB57" s="116">
        <f t="shared" si="115"/>
        <v>950</v>
      </c>
      <c r="EC57" s="130"/>
      <c r="ED57" s="116">
        <f t="shared" si="116"/>
        <v>35</v>
      </c>
      <c r="EE57" s="11"/>
      <c r="EF57" s="1"/>
      <c r="EG57" s="16">
        <v>5</v>
      </c>
      <c r="EH57" s="112" t="s">
        <v>152</v>
      </c>
      <c r="EI57" s="112" t="s">
        <v>263</v>
      </c>
      <c r="EJ57" s="113" t="s">
        <v>166</v>
      </c>
      <c r="EK57" s="112"/>
      <c r="EL57" s="112"/>
      <c r="EM57" s="112"/>
      <c r="EN57" s="112"/>
      <c r="EO57" s="112"/>
      <c r="EP57" s="112"/>
      <c r="EQ57" s="112"/>
      <c r="ER57" s="112"/>
      <c r="ES57" s="112"/>
      <c r="ET57" s="112"/>
      <c r="EU57" s="112"/>
      <c r="EV57" s="112"/>
      <c r="EW57" s="112"/>
      <c r="EX57" s="112"/>
      <c r="EY57" s="112"/>
      <c r="EZ57" s="112"/>
      <c r="FA57" s="112">
        <f t="shared" si="85"/>
        <v>0</v>
      </c>
      <c r="FB57" s="112">
        <f t="shared" si="117"/>
        <v>0</v>
      </c>
      <c r="FC57" s="112">
        <f t="shared" si="118"/>
        <v>0</v>
      </c>
      <c r="FD57" s="114">
        <f t="shared" si="119"/>
        <v>0</v>
      </c>
      <c r="FE57" s="115"/>
      <c r="FF57" s="116">
        <f t="shared" si="120"/>
        <v>0</v>
      </c>
      <c r="FG57" s="117"/>
      <c r="FH57" s="116">
        <f t="shared" si="86"/>
        <v>950</v>
      </c>
      <c r="FI57" s="117"/>
      <c r="FJ57" s="116">
        <f t="shared" si="87"/>
        <v>35</v>
      </c>
      <c r="FK57" s="117"/>
      <c r="FL57" s="123"/>
      <c r="FM57" s="126"/>
      <c r="FN57" s="127">
        <f t="shared" si="121"/>
        <v>0</v>
      </c>
      <c r="FO57" s="127">
        <f t="shared" si="122"/>
        <v>0</v>
      </c>
    </row>
    <row r="58" spans="1:173" ht="20.100000000000001" customHeight="1" x14ac:dyDescent="0.25">
      <c r="A58" s="16">
        <v>6</v>
      </c>
      <c r="B58" s="234" t="s">
        <v>352</v>
      </c>
      <c r="C58" s="237" t="s">
        <v>21</v>
      </c>
      <c r="D58" s="235" t="s">
        <v>353</v>
      </c>
      <c r="E58" s="112">
        <v>3</v>
      </c>
      <c r="F58" s="112">
        <v>6</v>
      </c>
      <c r="G58" s="112">
        <v>9</v>
      </c>
      <c r="H58" s="112" t="s">
        <v>23</v>
      </c>
      <c r="I58" s="112">
        <f t="shared" si="75"/>
        <v>3</v>
      </c>
      <c r="J58" s="112">
        <f t="shared" si="88"/>
        <v>6</v>
      </c>
      <c r="K58" s="112">
        <f t="shared" si="123"/>
        <v>75</v>
      </c>
      <c r="L58" s="114">
        <f t="shared" si="89"/>
        <v>150</v>
      </c>
      <c r="M58" s="115"/>
      <c r="N58" s="116">
        <f t="shared" si="90"/>
        <v>10</v>
      </c>
      <c r="O58" s="117"/>
      <c r="P58" s="116">
        <f t="shared" si="91"/>
        <v>150</v>
      </c>
      <c r="Q58" s="117"/>
      <c r="R58" s="116">
        <f t="shared" si="92"/>
        <v>10</v>
      </c>
      <c r="S58" s="11"/>
      <c r="T58" s="1"/>
      <c r="U58" s="16">
        <v>6</v>
      </c>
      <c r="V58" s="112" t="s">
        <v>153</v>
      </c>
      <c r="W58" s="112" t="s">
        <v>261</v>
      </c>
      <c r="X58" s="113" t="s">
        <v>167</v>
      </c>
      <c r="Y58" s="78">
        <v>12</v>
      </c>
      <c r="Z58" s="122">
        <v>15</v>
      </c>
      <c r="AA58" s="78">
        <v>18</v>
      </c>
      <c r="AB58" s="122" t="s">
        <v>23</v>
      </c>
      <c r="AC58" s="78">
        <v>21</v>
      </c>
      <c r="AD58" s="78">
        <v>24</v>
      </c>
      <c r="AE58" s="122">
        <v>27</v>
      </c>
      <c r="AF58" s="78" t="s">
        <v>23</v>
      </c>
      <c r="AG58" s="112">
        <f t="shared" si="76"/>
        <v>6</v>
      </c>
      <c r="AH58" s="112">
        <f t="shared" si="93"/>
        <v>12</v>
      </c>
      <c r="AI58" s="112">
        <f t="shared" si="94"/>
        <v>75</v>
      </c>
      <c r="AJ58" s="114">
        <f t="shared" si="95"/>
        <v>300</v>
      </c>
      <c r="AK58" s="115"/>
      <c r="AL58" s="116">
        <f t="shared" si="96"/>
        <v>10</v>
      </c>
      <c r="AM58" s="117"/>
      <c r="AN58" s="116">
        <f t="shared" si="77"/>
        <v>450</v>
      </c>
      <c r="AO58" s="11"/>
      <c r="AP58" s="124">
        <f t="shared" si="78"/>
        <v>20</v>
      </c>
      <c r="AQ58" s="11"/>
      <c r="AR58" s="1"/>
      <c r="AS58" s="16">
        <v>6</v>
      </c>
      <c r="AT58" s="112" t="s">
        <v>153</v>
      </c>
      <c r="AU58" s="112" t="s">
        <v>261</v>
      </c>
      <c r="AV58" s="113" t="s">
        <v>167</v>
      </c>
      <c r="AW58" s="122" t="s">
        <v>23</v>
      </c>
      <c r="AX58" s="78" t="s">
        <v>23</v>
      </c>
      <c r="AY58" s="122">
        <v>30</v>
      </c>
      <c r="AZ58" s="122">
        <v>33</v>
      </c>
      <c r="BA58" s="122">
        <v>36</v>
      </c>
      <c r="BB58" s="78">
        <v>39</v>
      </c>
      <c r="BC58" s="125" t="s">
        <v>23</v>
      </c>
      <c r="BD58" s="125">
        <v>42</v>
      </c>
      <c r="BE58" s="112">
        <f t="shared" si="79"/>
        <v>5</v>
      </c>
      <c r="BF58" s="112">
        <f t="shared" si="97"/>
        <v>10</v>
      </c>
      <c r="BG58" s="112">
        <f t="shared" si="98"/>
        <v>83.333333333333343</v>
      </c>
      <c r="BH58" s="114">
        <f t="shared" si="99"/>
        <v>250</v>
      </c>
      <c r="BI58" s="115"/>
      <c r="BJ58" s="116">
        <f t="shared" si="100"/>
        <v>10</v>
      </c>
      <c r="BK58" s="117"/>
      <c r="BL58" s="116">
        <f t="shared" si="80"/>
        <v>700</v>
      </c>
      <c r="BM58" s="117"/>
      <c r="BN58" s="116">
        <f t="shared" si="81"/>
        <v>30</v>
      </c>
      <c r="BO58" s="11"/>
      <c r="BP58" s="1"/>
      <c r="BQ58" s="16">
        <v>6</v>
      </c>
      <c r="BR58" s="112" t="s">
        <v>153</v>
      </c>
      <c r="BS58" s="112" t="s">
        <v>261</v>
      </c>
      <c r="BT58" s="113" t="s">
        <v>167</v>
      </c>
      <c r="BU58" s="122">
        <v>45</v>
      </c>
      <c r="BV58" s="122" t="s">
        <v>23</v>
      </c>
      <c r="BW58" s="122">
        <v>48</v>
      </c>
      <c r="BX58" s="122">
        <v>51</v>
      </c>
      <c r="BY58" s="112">
        <f t="shared" si="82"/>
        <v>3</v>
      </c>
      <c r="BZ58" s="112">
        <f t="shared" si="101"/>
        <v>6</v>
      </c>
      <c r="CA58" s="112">
        <f t="shared" si="102"/>
        <v>75</v>
      </c>
      <c r="CB58" s="114">
        <f t="shared" si="124"/>
        <v>150</v>
      </c>
      <c r="CC58" s="115"/>
      <c r="CD58" s="116">
        <f t="shared" si="103"/>
        <v>10</v>
      </c>
      <c r="CE58" s="117"/>
      <c r="CF58" s="155">
        <f t="shared" si="104"/>
        <v>850</v>
      </c>
      <c r="CG58" s="117"/>
      <c r="CH58" s="116">
        <f t="shared" si="125"/>
        <v>40</v>
      </c>
      <c r="CI58" s="117"/>
      <c r="CJ58" s="123"/>
      <c r="CK58" s="131">
        <v>6</v>
      </c>
      <c r="CL58" s="128" t="s">
        <v>115</v>
      </c>
      <c r="CM58" s="112" t="s">
        <v>21</v>
      </c>
      <c r="CN58" s="113" t="s">
        <v>167</v>
      </c>
      <c r="CO58" s="78"/>
      <c r="CP58" s="78"/>
      <c r="CQ58" s="78"/>
      <c r="CR58" s="78"/>
      <c r="CS58" s="78"/>
      <c r="CT58" s="112"/>
      <c r="CU58" s="112"/>
      <c r="CV58" s="112"/>
      <c r="CW58" s="112">
        <f t="shared" si="83"/>
        <v>0</v>
      </c>
      <c r="CX58" s="112">
        <f t="shared" si="105"/>
        <v>0</v>
      </c>
      <c r="CY58" s="112">
        <f t="shared" si="106"/>
        <v>0</v>
      </c>
      <c r="CZ58" s="114">
        <f t="shared" si="107"/>
        <v>0</v>
      </c>
      <c r="DA58" s="129"/>
      <c r="DB58" s="116">
        <f t="shared" si="108"/>
        <v>0</v>
      </c>
      <c r="DC58" s="130"/>
      <c r="DD58" s="116">
        <f t="shared" si="109"/>
        <v>850</v>
      </c>
      <c r="DE58" s="130"/>
      <c r="DF58" s="116">
        <f t="shared" si="110"/>
        <v>40</v>
      </c>
      <c r="DG58" s="11"/>
      <c r="DH58" s="1"/>
      <c r="DI58" s="131">
        <v>6</v>
      </c>
      <c r="DJ58" s="112" t="s">
        <v>153</v>
      </c>
      <c r="DK58" s="112" t="s">
        <v>21</v>
      </c>
      <c r="DL58" s="113" t="s">
        <v>167</v>
      </c>
      <c r="DM58" s="122"/>
      <c r="DN58" s="122"/>
      <c r="DO58" s="122"/>
      <c r="DP58" s="122"/>
      <c r="DQ58" s="122"/>
      <c r="DR58" s="122"/>
      <c r="DS58" s="122"/>
      <c r="DT58" s="112"/>
      <c r="DU58" s="112">
        <f t="shared" si="84"/>
        <v>0</v>
      </c>
      <c r="DV58" s="112">
        <f t="shared" si="111"/>
        <v>0</v>
      </c>
      <c r="DW58" s="112">
        <f t="shared" si="112"/>
        <v>0</v>
      </c>
      <c r="DX58" s="114">
        <f t="shared" si="113"/>
        <v>0</v>
      </c>
      <c r="DY58" s="129"/>
      <c r="DZ58" s="116">
        <f t="shared" si="114"/>
        <v>0</v>
      </c>
      <c r="EA58" s="130"/>
      <c r="EB58" s="116">
        <f t="shared" si="115"/>
        <v>850</v>
      </c>
      <c r="EC58" s="130"/>
      <c r="ED58" s="116">
        <f t="shared" si="116"/>
        <v>40</v>
      </c>
      <c r="EE58" s="11"/>
      <c r="EF58" s="1"/>
      <c r="EG58" s="16">
        <v>6</v>
      </c>
      <c r="EH58" s="112" t="s">
        <v>153</v>
      </c>
      <c r="EI58" s="112" t="s">
        <v>21</v>
      </c>
      <c r="EJ58" s="113" t="s">
        <v>167</v>
      </c>
      <c r="EK58" s="112"/>
      <c r="EL58" s="112"/>
      <c r="EM58" s="112"/>
      <c r="EN58" s="125"/>
      <c r="EO58" s="125"/>
      <c r="EP58" s="125"/>
      <c r="EQ58" s="125"/>
      <c r="ER58" s="112"/>
      <c r="ES58" s="112"/>
      <c r="ET58" s="112"/>
      <c r="EU58" s="112"/>
      <c r="EV58" s="112"/>
      <c r="EW58" s="112"/>
      <c r="EX58" s="112"/>
      <c r="EY58" s="112"/>
      <c r="EZ58" s="112"/>
      <c r="FA58" s="112">
        <f t="shared" si="85"/>
        <v>0</v>
      </c>
      <c r="FB58" s="112">
        <f t="shared" si="117"/>
        <v>0</v>
      </c>
      <c r="FC58" s="112">
        <f t="shared" si="118"/>
        <v>0</v>
      </c>
      <c r="FD58" s="114">
        <f t="shared" si="119"/>
        <v>0</v>
      </c>
      <c r="FE58" s="115"/>
      <c r="FF58" s="116">
        <f t="shared" si="120"/>
        <v>0</v>
      </c>
      <c r="FG58" s="117"/>
      <c r="FH58" s="116">
        <f t="shared" si="86"/>
        <v>850</v>
      </c>
      <c r="FI58" s="117"/>
      <c r="FJ58" s="116">
        <f t="shared" si="87"/>
        <v>40</v>
      </c>
      <c r="FK58" s="117"/>
      <c r="FL58" s="123"/>
      <c r="FM58" s="126"/>
      <c r="FN58" s="127">
        <f t="shared" si="121"/>
        <v>0</v>
      </c>
      <c r="FO58" s="127">
        <f t="shared" si="122"/>
        <v>0</v>
      </c>
    </row>
    <row r="59" spans="1:173" ht="20.100000000000001" customHeight="1" x14ac:dyDescent="0.25">
      <c r="A59" s="16">
        <v>7</v>
      </c>
      <c r="B59" s="234" t="s">
        <v>354</v>
      </c>
      <c r="C59" s="237" t="s">
        <v>21</v>
      </c>
      <c r="D59" s="235" t="s">
        <v>355</v>
      </c>
      <c r="E59" s="112">
        <v>3</v>
      </c>
      <c r="F59" s="112">
        <v>6</v>
      </c>
      <c r="G59" s="112">
        <v>9</v>
      </c>
      <c r="H59" s="112">
        <v>12</v>
      </c>
      <c r="I59" s="112">
        <f t="shared" si="75"/>
        <v>4</v>
      </c>
      <c r="J59" s="112">
        <f t="shared" si="88"/>
        <v>8</v>
      </c>
      <c r="K59" s="112">
        <f t="shared" si="123"/>
        <v>100</v>
      </c>
      <c r="L59" s="114">
        <f t="shared" si="89"/>
        <v>200</v>
      </c>
      <c r="M59" s="115"/>
      <c r="N59" s="116">
        <f t="shared" si="90"/>
        <v>10</v>
      </c>
      <c r="O59" s="117"/>
      <c r="P59" s="116">
        <f t="shared" si="91"/>
        <v>200</v>
      </c>
      <c r="Q59" s="117"/>
      <c r="R59" s="116">
        <f t="shared" si="92"/>
        <v>10</v>
      </c>
      <c r="S59" s="11"/>
      <c r="T59" s="1"/>
      <c r="U59" s="16">
        <v>7</v>
      </c>
      <c r="V59" s="112" t="s">
        <v>154</v>
      </c>
      <c r="W59" s="112" t="s">
        <v>21</v>
      </c>
      <c r="X59" s="113" t="s">
        <v>168</v>
      </c>
      <c r="Y59" s="78" t="s">
        <v>23</v>
      </c>
      <c r="Z59" s="122" t="s">
        <v>23</v>
      </c>
      <c r="AA59" s="78">
        <v>9</v>
      </c>
      <c r="AB59" s="122" t="s">
        <v>23</v>
      </c>
      <c r="AC59" s="78" t="s">
        <v>23</v>
      </c>
      <c r="AD59" s="78">
        <v>12</v>
      </c>
      <c r="AE59" s="122" t="s">
        <v>23</v>
      </c>
      <c r="AF59" s="78">
        <v>15</v>
      </c>
      <c r="AG59" s="112">
        <f t="shared" si="76"/>
        <v>3</v>
      </c>
      <c r="AH59" s="112">
        <f t="shared" si="93"/>
        <v>6</v>
      </c>
      <c r="AI59" s="112">
        <f t="shared" si="94"/>
        <v>37.5</v>
      </c>
      <c r="AJ59" s="114">
        <f t="shared" si="95"/>
        <v>150</v>
      </c>
      <c r="AK59" s="115"/>
      <c r="AL59" s="116">
        <f t="shared" si="96"/>
        <v>0</v>
      </c>
      <c r="AM59" s="117"/>
      <c r="AN59" s="116">
        <f t="shared" si="77"/>
        <v>350</v>
      </c>
      <c r="AO59" s="11"/>
      <c r="AP59" s="124">
        <f t="shared" si="78"/>
        <v>10</v>
      </c>
      <c r="AQ59" s="11"/>
      <c r="AR59" s="1"/>
      <c r="AS59" s="16">
        <v>7</v>
      </c>
      <c r="AT59" s="112" t="s">
        <v>154</v>
      </c>
      <c r="AU59" s="112" t="s">
        <v>21</v>
      </c>
      <c r="AV59" s="113" t="s">
        <v>168</v>
      </c>
      <c r="AW59" s="78" t="s">
        <v>23</v>
      </c>
      <c r="AX59" s="78" t="s">
        <v>23</v>
      </c>
      <c r="AY59" s="122">
        <v>18</v>
      </c>
      <c r="AZ59" s="78" t="s">
        <v>23</v>
      </c>
      <c r="BA59" s="122" t="s">
        <v>23</v>
      </c>
      <c r="BB59" s="122">
        <v>21</v>
      </c>
      <c r="BC59" s="125" t="s">
        <v>23</v>
      </c>
      <c r="BD59" s="125">
        <v>24</v>
      </c>
      <c r="BE59" s="112">
        <f t="shared" si="79"/>
        <v>3</v>
      </c>
      <c r="BF59" s="112">
        <f t="shared" si="97"/>
        <v>6</v>
      </c>
      <c r="BG59" s="112">
        <f t="shared" si="98"/>
        <v>50</v>
      </c>
      <c r="BH59" s="114">
        <f t="shared" si="99"/>
        <v>150</v>
      </c>
      <c r="BI59" s="115"/>
      <c r="BJ59" s="116">
        <f t="shared" si="100"/>
        <v>5</v>
      </c>
      <c r="BK59" s="117"/>
      <c r="BL59" s="116">
        <f t="shared" si="80"/>
        <v>500</v>
      </c>
      <c r="BM59" s="117"/>
      <c r="BN59" s="116">
        <f t="shared" si="81"/>
        <v>15</v>
      </c>
      <c r="BO59" s="11"/>
      <c r="BP59" s="1"/>
      <c r="BQ59" s="16">
        <v>7</v>
      </c>
      <c r="BR59" s="112" t="s">
        <v>154</v>
      </c>
      <c r="BS59" s="112" t="s">
        <v>21</v>
      </c>
      <c r="BT59" s="113" t="s">
        <v>168</v>
      </c>
      <c r="BU59" s="78" t="s">
        <v>23</v>
      </c>
      <c r="BV59" s="122">
        <v>27</v>
      </c>
      <c r="BW59" s="122" t="s">
        <v>23</v>
      </c>
      <c r="BX59" s="122">
        <v>30</v>
      </c>
      <c r="BY59" s="112">
        <f t="shared" si="82"/>
        <v>2</v>
      </c>
      <c r="BZ59" s="112">
        <f t="shared" si="101"/>
        <v>4</v>
      </c>
      <c r="CA59" s="112">
        <f t="shared" si="102"/>
        <v>50</v>
      </c>
      <c r="CB59" s="114">
        <f t="shared" si="124"/>
        <v>100</v>
      </c>
      <c r="CC59" s="115"/>
      <c r="CD59" s="116">
        <f t="shared" si="103"/>
        <v>5</v>
      </c>
      <c r="CE59" s="117"/>
      <c r="CF59" s="155">
        <f t="shared" si="104"/>
        <v>600</v>
      </c>
      <c r="CG59" s="117"/>
      <c r="CH59" s="116">
        <f t="shared" si="125"/>
        <v>20</v>
      </c>
      <c r="CI59" s="117"/>
      <c r="CJ59" s="123"/>
      <c r="CK59" s="131">
        <v>7</v>
      </c>
      <c r="CL59" s="128" t="s">
        <v>117</v>
      </c>
      <c r="CM59" s="112" t="s">
        <v>21</v>
      </c>
      <c r="CN59" s="113" t="s">
        <v>168</v>
      </c>
      <c r="CO59" s="78"/>
      <c r="CP59" s="78"/>
      <c r="CQ59" s="78"/>
      <c r="CR59" s="78"/>
      <c r="CS59" s="78"/>
      <c r="CT59" s="112"/>
      <c r="CU59" s="112"/>
      <c r="CV59" s="112"/>
      <c r="CW59" s="112">
        <f t="shared" si="83"/>
        <v>0</v>
      </c>
      <c r="CX59" s="112">
        <f t="shared" si="105"/>
        <v>0</v>
      </c>
      <c r="CY59" s="112">
        <f t="shared" si="106"/>
        <v>0</v>
      </c>
      <c r="CZ59" s="114">
        <f t="shared" si="107"/>
        <v>0</v>
      </c>
      <c r="DA59" s="129"/>
      <c r="DB59" s="116">
        <f t="shared" si="108"/>
        <v>0</v>
      </c>
      <c r="DC59" s="130"/>
      <c r="DD59" s="116">
        <f t="shared" si="109"/>
        <v>600</v>
      </c>
      <c r="DE59" s="130"/>
      <c r="DF59" s="116">
        <f t="shared" si="110"/>
        <v>20</v>
      </c>
      <c r="DG59" s="11"/>
      <c r="DH59" s="1"/>
      <c r="DI59" s="131">
        <v>7</v>
      </c>
      <c r="DJ59" s="112" t="s">
        <v>154</v>
      </c>
      <c r="DK59" s="112" t="s">
        <v>21</v>
      </c>
      <c r="DL59" s="113" t="s">
        <v>168</v>
      </c>
      <c r="DM59" s="78"/>
      <c r="DN59" s="122"/>
      <c r="DO59" s="122"/>
      <c r="DP59" s="122"/>
      <c r="DQ59" s="78"/>
      <c r="DR59" s="78"/>
      <c r="DS59" s="78"/>
      <c r="DT59" s="112"/>
      <c r="DU59" s="112">
        <f t="shared" si="84"/>
        <v>0</v>
      </c>
      <c r="DV59" s="112">
        <f t="shared" si="111"/>
        <v>0</v>
      </c>
      <c r="DW59" s="112">
        <f t="shared" si="112"/>
        <v>0</v>
      </c>
      <c r="DX59" s="114">
        <f t="shared" si="113"/>
        <v>0</v>
      </c>
      <c r="DY59" s="129"/>
      <c r="DZ59" s="116">
        <f t="shared" si="114"/>
        <v>0</v>
      </c>
      <c r="EA59" s="130"/>
      <c r="EB59" s="116">
        <f t="shared" si="115"/>
        <v>600</v>
      </c>
      <c r="EC59" s="130"/>
      <c r="ED59" s="116">
        <f t="shared" si="116"/>
        <v>20</v>
      </c>
      <c r="EE59" s="11"/>
      <c r="EF59" s="1"/>
      <c r="EG59" s="16">
        <v>7</v>
      </c>
      <c r="EH59" s="112" t="s">
        <v>154</v>
      </c>
      <c r="EI59" s="112" t="s">
        <v>21</v>
      </c>
      <c r="EJ59" s="113" t="s">
        <v>168</v>
      </c>
      <c r="EK59" s="112"/>
      <c r="EL59" s="112"/>
      <c r="EM59" s="112"/>
      <c r="EN59" s="125"/>
      <c r="EO59" s="125"/>
      <c r="EP59" s="125"/>
      <c r="EQ59" s="125"/>
      <c r="ER59" s="112"/>
      <c r="ES59" s="112"/>
      <c r="ET59" s="112"/>
      <c r="EU59" s="112"/>
      <c r="EV59" s="112"/>
      <c r="EW59" s="112"/>
      <c r="EX59" s="112"/>
      <c r="EY59" s="112"/>
      <c r="EZ59" s="112"/>
      <c r="FA59" s="112">
        <f t="shared" si="85"/>
        <v>0</v>
      </c>
      <c r="FB59" s="112">
        <f t="shared" si="117"/>
        <v>0</v>
      </c>
      <c r="FC59" s="112">
        <f t="shared" si="118"/>
        <v>0</v>
      </c>
      <c r="FD59" s="114">
        <f t="shared" si="119"/>
        <v>0</v>
      </c>
      <c r="FE59" s="115"/>
      <c r="FF59" s="116">
        <f t="shared" si="120"/>
        <v>0</v>
      </c>
      <c r="FG59" s="117"/>
      <c r="FH59" s="116">
        <f t="shared" si="86"/>
        <v>600</v>
      </c>
      <c r="FI59" s="117"/>
      <c r="FJ59" s="116">
        <f t="shared" si="87"/>
        <v>20</v>
      </c>
      <c r="FK59" s="117"/>
      <c r="FL59" s="123"/>
      <c r="FM59" s="126"/>
      <c r="FN59" s="127">
        <f>EK59/3</f>
        <v>0</v>
      </c>
      <c r="FO59" s="127">
        <f t="shared" si="122"/>
        <v>0</v>
      </c>
    </row>
    <row r="60" spans="1:173" ht="20.100000000000001" customHeight="1" x14ac:dyDescent="0.25">
      <c r="A60" s="16">
        <v>8</v>
      </c>
      <c r="B60" s="234" t="s">
        <v>356</v>
      </c>
      <c r="C60" s="237" t="s">
        <v>21</v>
      </c>
      <c r="D60" s="235" t="s">
        <v>357</v>
      </c>
      <c r="E60" s="112">
        <v>3</v>
      </c>
      <c r="F60" s="112">
        <v>6</v>
      </c>
      <c r="G60" s="112">
        <v>9</v>
      </c>
      <c r="H60" s="112">
        <v>12</v>
      </c>
      <c r="I60" s="112">
        <f t="shared" si="75"/>
        <v>4</v>
      </c>
      <c r="J60" s="112">
        <f t="shared" si="88"/>
        <v>8</v>
      </c>
      <c r="K60" s="112">
        <f t="shared" si="123"/>
        <v>100</v>
      </c>
      <c r="L60" s="114">
        <f t="shared" si="89"/>
        <v>200</v>
      </c>
      <c r="M60" s="115"/>
      <c r="N60" s="116">
        <f t="shared" si="90"/>
        <v>10</v>
      </c>
      <c r="O60" s="117"/>
      <c r="P60" s="116">
        <f t="shared" si="91"/>
        <v>200</v>
      </c>
      <c r="Q60" s="117"/>
      <c r="R60" s="116">
        <f t="shared" si="92"/>
        <v>10</v>
      </c>
      <c r="S60" s="11"/>
      <c r="T60" s="1"/>
      <c r="U60" s="16">
        <v>8</v>
      </c>
      <c r="V60" s="112" t="s">
        <v>155</v>
      </c>
      <c r="W60" s="112" t="s">
        <v>263</v>
      </c>
      <c r="X60" s="113" t="s">
        <v>169</v>
      </c>
      <c r="Y60" s="78">
        <v>9</v>
      </c>
      <c r="Z60" s="122" t="s">
        <v>23</v>
      </c>
      <c r="AA60" s="78" t="s">
        <v>23</v>
      </c>
      <c r="AB60" s="122" t="s">
        <v>23</v>
      </c>
      <c r="AC60" s="78">
        <v>12</v>
      </c>
      <c r="AD60" s="78">
        <v>15</v>
      </c>
      <c r="AE60" s="122">
        <v>18</v>
      </c>
      <c r="AF60" s="78" t="s">
        <v>23</v>
      </c>
      <c r="AG60" s="112">
        <f t="shared" si="76"/>
        <v>4</v>
      </c>
      <c r="AH60" s="112">
        <f t="shared" si="93"/>
        <v>8</v>
      </c>
      <c r="AI60" s="112">
        <f t="shared" si="94"/>
        <v>50</v>
      </c>
      <c r="AJ60" s="114">
        <f t="shared" si="95"/>
        <v>200</v>
      </c>
      <c r="AK60" s="115"/>
      <c r="AL60" s="116">
        <f t="shared" si="96"/>
        <v>5</v>
      </c>
      <c r="AM60" s="117"/>
      <c r="AN60" s="116">
        <f t="shared" si="77"/>
        <v>400</v>
      </c>
      <c r="AO60" s="11"/>
      <c r="AP60" s="124">
        <f t="shared" si="78"/>
        <v>15</v>
      </c>
      <c r="AQ60" s="11"/>
      <c r="AR60" s="1"/>
      <c r="AS60" s="16">
        <v>8</v>
      </c>
      <c r="AT60" s="112" t="s">
        <v>155</v>
      </c>
      <c r="AU60" s="112" t="s">
        <v>263</v>
      </c>
      <c r="AV60" s="113" t="s">
        <v>169</v>
      </c>
      <c r="AW60" s="78">
        <v>21</v>
      </c>
      <c r="AX60" s="122" t="s">
        <v>23</v>
      </c>
      <c r="AY60" s="78" t="s">
        <v>23</v>
      </c>
      <c r="AZ60" s="122">
        <v>24</v>
      </c>
      <c r="BA60" s="122">
        <v>27</v>
      </c>
      <c r="BB60" s="122" t="s">
        <v>23</v>
      </c>
      <c r="BC60" s="112">
        <v>30</v>
      </c>
      <c r="BD60" s="112" t="s">
        <v>23</v>
      </c>
      <c r="BE60" s="112">
        <f t="shared" si="79"/>
        <v>4</v>
      </c>
      <c r="BF60" s="112">
        <f t="shared" si="97"/>
        <v>8</v>
      </c>
      <c r="BG60" s="112">
        <f t="shared" si="98"/>
        <v>66.666666666666657</v>
      </c>
      <c r="BH60" s="114">
        <f t="shared" si="99"/>
        <v>200</v>
      </c>
      <c r="BI60" s="115"/>
      <c r="BJ60" s="116">
        <f t="shared" si="100"/>
        <v>10</v>
      </c>
      <c r="BK60" s="117"/>
      <c r="BL60" s="116">
        <f t="shared" si="80"/>
        <v>600</v>
      </c>
      <c r="BM60" s="117"/>
      <c r="BN60" s="116">
        <f t="shared" si="81"/>
        <v>25</v>
      </c>
      <c r="BO60" s="11"/>
      <c r="BP60" s="1"/>
      <c r="BQ60" s="16">
        <v>8</v>
      </c>
      <c r="BR60" s="112" t="s">
        <v>155</v>
      </c>
      <c r="BS60" s="112" t="s">
        <v>263</v>
      </c>
      <c r="BT60" s="113" t="s">
        <v>169</v>
      </c>
      <c r="BU60" s="122">
        <v>33</v>
      </c>
      <c r="BV60" s="122" t="s">
        <v>23</v>
      </c>
      <c r="BW60" s="122">
        <v>36</v>
      </c>
      <c r="BX60" s="122" t="s">
        <v>23</v>
      </c>
      <c r="BY60" s="112">
        <f t="shared" si="82"/>
        <v>2</v>
      </c>
      <c r="BZ60" s="112">
        <f t="shared" si="101"/>
        <v>4</v>
      </c>
      <c r="CA60" s="112">
        <f t="shared" si="102"/>
        <v>50</v>
      </c>
      <c r="CB60" s="114">
        <f t="shared" si="124"/>
        <v>100</v>
      </c>
      <c r="CC60" s="115"/>
      <c r="CD60" s="116">
        <f t="shared" si="103"/>
        <v>5</v>
      </c>
      <c r="CE60" s="117"/>
      <c r="CF60" s="155">
        <f t="shared" si="104"/>
        <v>700</v>
      </c>
      <c r="CG60" s="117"/>
      <c r="CH60" s="116">
        <f t="shared" si="125"/>
        <v>30</v>
      </c>
      <c r="CI60" s="117"/>
      <c r="CJ60" s="123"/>
      <c r="CK60" s="131">
        <v>8</v>
      </c>
      <c r="CL60" s="128" t="s">
        <v>119</v>
      </c>
      <c r="CM60" s="112" t="s">
        <v>261</v>
      </c>
      <c r="CN60" s="113" t="s">
        <v>169</v>
      </c>
      <c r="CO60" s="78"/>
      <c r="CP60" s="78"/>
      <c r="CQ60" s="78"/>
      <c r="CR60" s="78"/>
      <c r="CS60" s="78"/>
      <c r="CT60" s="112"/>
      <c r="CU60" s="112"/>
      <c r="CV60" s="112"/>
      <c r="CW60" s="112">
        <f t="shared" si="83"/>
        <v>0</v>
      </c>
      <c r="CX60" s="112">
        <f t="shared" si="105"/>
        <v>0</v>
      </c>
      <c r="CY60" s="112">
        <f t="shared" si="106"/>
        <v>0</v>
      </c>
      <c r="CZ60" s="114">
        <f t="shared" si="107"/>
        <v>0</v>
      </c>
      <c r="DA60" s="129"/>
      <c r="DB60" s="116">
        <f t="shared" si="108"/>
        <v>0</v>
      </c>
      <c r="DC60" s="130"/>
      <c r="DD60" s="116">
        <f t="shared" si="109"/>
        <v>700</v>
      </c>
      <c r="DE60" s="130"/>
      <c r="DF60" s="116">
        <f t="shared" si="110"/>
        <v>30</v>
      </c>
      <c r="DG60" s="11"/>
      <c r="DH60" s="1"/>
      <c r="DI60" s="131">
        <v>8</v>
      </c>
      <c r="DJ60" s="112" t="s">
        <v>155</v>
      </c>
      <c r="DK60" s="112" t="s">
        <v>261</v>
      </c>
      <c r="DL60" s="113" t="s">
        <v>169</v>
      </c>
      <c r="DM60" s="122"/>
      <c r="DN60" s="122"/>
      <c r="DO60" s="122"/>
      <c r="DP60" s="122"/>
      <c r="DQ60" s="78"/>
      <c r="DR60" s="122"/>
      <c r="DS60" s="122"/>
      <c r="DT60" s="112"/>
      <c r="DU60" s="112">
        <f t="shared" si="84"/>
        <v>0</v>
      </c>
      <c r="DV60" s="112">
        <f t="shared" si="111"/>
        <v>0</v>
      </c>
      <c r="DW60" s="112">
        <f t="shared" si="112"/>
        <v>0</v>
      </c>
      <c r="DX60" s="114">
        <f t="shared" si="113"/>
        <v>0</v>
      </c>
      <c r="DY60" s="129"/>
      <c r="DZ60" s="116">
        <f t="shared" si="114"/>
        <v>0</v>
      </c>
      <c r="EA60" s="130"/>
      <c r="EB60" s="116">
        <f t="shared" si="115"/>
        <v>700</v>
      </c>
      <c r="EC60" s="130"/>
      <c r="ED60" s="116">
        <f t="shared" si="116"/>
        <v>30</v>
      </c>
      <c r="EE60" s="11"/>
      <c r="EF60" s="1"/>
      <c r="EG60" s="16">
        <v>8</v>
      </c>
      <c r="EH60" s="112" t="s">
        <v>155</v>
      </c>
      <c r="EI60" s="112" t="s">
        <v>261</v>
      </c>
      <c r="EJ60" s="113" t="s">
        <v>169</v>
      </c>
      <c r="EK60" s="112"/>
      <c r="EL60" s="112"/>
      <c r="EM60" s="112"/>
      <c r="EN60" s="112"/>
      <c r="EO60" s="112"/>
      <c r="EP60" s="112"/>
      <c r="EQ60" s="112"/>
      <c r="ER60" s="112"/>
      <c r="ES60" s="112"/>
      <c r="ET60" s="112"/>
      <c r="EU60" s="112"/>
      <c r="EV60" s="112"/>
      <c r="EW60" s="112"/>
      <c r="EX60" s="112"/>
      <c r="EY60" s="112"/>
      <c r="EZ60" s="112"/>
      <c r="FA60" s="112">
        <f t="shared" si="85"/>
        <v>0</v>
      </c>
      <c r="FB60" s="112">
        <f t="shared" si="117"/>
        <v>0</v>
      </c>
      <c r="FC60" s="112">
        <f t="shared" si="118"/>
        <v>0</v>
      </c>
      <c r="FD60" s="114">
        <f t="shared" si="119"/>
        <v>0</v>
      </c>
      <c r="FE60" s="115"/>
      <c r="FF60" s="116">
        <f t="shared" si="120"/>
        <v>0</v>
      </c>
      <c r="FG60" s="117"/>
      <c r="FH60" s="116">
        <f t="shared" si="86"/>
        <v>700</v>
      </c>
      <c r="FI60" s="117"/>
      <c r="FJ60" s="116">
        <f t="shared" si="87"/>
        <v>30</v>
      </c>
      <c r="FK60" s="117"/>
      <c r="FL60" s="123"/>
      <c r="FM60" s="126"/>
      <c r="FN60" s="127">
        <f>EN60/3</f>
        <v>0</v>
      </c>
      <c r="FO60" s="127">
        <f t="shared" si="122"/>
        <v>0</v>
      </c>
    </row>
    <row r="61" spans="1:173" ht="20.100000000000001" customHeight="1" x14ac:dyDescent="0.25">
      <c r="A61" s="16">
        <v>9</v>
      </c>
      <c r="B61" s="234" t="s">
        <v>358</v>
      </c>
      <c r="C61" s="237" t="s">
        <v>21</v>
      </c>
      <c r="D61" s="232" t="s">
        <v>359</v>
      </c>
      <c r="E61" s="112" t="s">
        <v>23</v>
      </c>
      <c r="F61" s="112">
        <v>3</v>
      </c>
      <c r="G61" s="112" t="s">
        <v>23</v>
      </c>
      <c r="H61" s="112" t="s">
        <v>23</v>
      </c>
      <c r="I61" s="112">
        <f t="shared" si="75"/>
        <v>1</v>
      </c>
      <c r="J61" s="112">
        <f t="shared" si="88"/>
        <v>2</v>
      </c>
      <c r="K61" s="112">
        <f t="shared" si="123"/>
        <v>25</v>
      </c>
      <c r="L61" s="114">
        <f t="shared" si="89"/>
        <v>50</v>
      </c>
      <c r="M61" s="115"/>
      <c r="N61" s="116">
        <f t="shared" si="90"/>
        <v>0</v>
      </c>
      <c r="O61" s="117"/>
      <c r="P61" s="116">
        <f t="shared" si="91"/>
        <v>50</v>
      </c>
      <c r="Q61" s="117"/>
      <c r="R61" s="116">
        <f t="shared" si="92"/>
        <v>0</v>
      </c>
      <c r="S61" s="11"/>
      <c r="T61" s="1"/>
      <c r="U61" s="16">
        <v>9</v>
      </c>
      <c r="V61" s="112" t="s">
        <v>156</v>
      </c>
      <c r="W61" s="112" t="s">
        <v>261</v>
      </c>
      <c r="X61" s="118" t="s">
        <v>170</v>
      </c>
      <c r="Y61" s="78" t="s">
        <v>23</v>
      </c>
      <c r="Z61" s="122">
        <v>12</v>
      </c>
      <c r="AA61" s="78">
        <v>15</v>
      </c>
      <c r="AB61" s="122">
        <v>18</v>
      </c>
      <c r="AC61" s="78">
        <v>21</v>
      </c>
      <c r="AD61" s="78">
        <v>24</v>
      </c>
      <c r="AE61" s="122">
        <v>27</v>
      </c>
      <c r="AF61" s="78" t="s">
        <v>23</v>
      </c>
      <c r="AG61" s="112">
        <f t="shared" si="76"/>
        <v>6</v>
      </c>
      <c r="AH61" s="112">
        <f t="shared" si="93"/>
        <v>12</v>
      </c>
      <c r="AI61" s="112">
        <f t="shared" si="94"/>
        <v>75</v>
      </c>
      <c r="AJ61" s="114">
        <f t="shared" si="95"/>
        <v>300</v>
      </c>
      <c r="AK61" s="115"/>
      <c r="AL61" s="116">
        <f t="shared" si="96"/>
        <v>10</v>
      </c>
      <c r="AM61" s="117"/>
      <c r="AN61" s="116">
        <f t="shared" si="77"/>
        <v>350</v>
      </c>
      <c r="AO61" s="11"/>
      <c r="AP61" s="124">
        <f t="shared" si="78"/>
        <v>10</v>
      </c>
      <c r="AQ61" s="11"/>
      <c r="AR61" s="1"/>
      <c r="AS61" s="16">
        <v>9</v>
      </c>
      <c r="AT61" s="112" t="s">
        <v>156</v>
      </c>
      <c r="AU61" s="112" t="s">
        <v>261</v>
      </c>
      <c r="AV61" s="118" t="s">
        <v>170</v>
      </c>
      <c r="AW61" s="78">
        <v>30</v>
      </c>
      <c r="AX61" s="122">
        <v>33</v>
      </c>
      <c r="AY61" s="78">
        <v>36</v>
      </c>
      <c r="AZ61" s="122" t="s">
        <v>23</v>
      </c>
      <c r="BA61" s="78">
        <v>39</v>
      </c>
      <c r="BB61" s="122">
        <v>42</v>
      </c>
      <c r="BC61" s="125">
        <v>45</v>
      </c>
      <c r="BD61" s="125" t="s">
        <v>23</v>
      </c>
      <c r="BE61" s="112">
        <f t="shared" si="79"/>
        <v>6</v>
      </c>
      <c r="BF61" s="112">
        <f t="shared" si="97"/>
        <v>12</v>
      </c>
      <c r="BG61" s="112">
        <f t="shared" si="98"/>
        <v>100</v>
      </c>
      <c r="BH61" s="114">
        <f t="shared" si="99"/>
        <v>300</v>
      </c>
      <c r="BI61" s="115"/>
      <c r="BJ61" s="116">
        <f t="shared" si="100"/>
        <v>10</v>
      </c>
      <c r="BK61" s="117"/>
      <c r="BL61" s="116">
        <f t="shared" si="80"/>
        <v>650</v>
      </c>
      <c r="BM61" s="117"/>
      <c r="BN61" s="116">
        <f t="shared" si="81"/>
        <v>20</v>
      </c>
      <c r="BO61" s="11"/>
      <c r="BP61" s="1"/>
      <c r="BQ61" s="16">
        <v>9</v>
      </c>
      <c r="BR61" s="112" t="s">
        <v>156</v>
      </c>
      <c r="BS61" s="112" t="s">
        <v>261</v>
      </c>
      <c r="BT61" s="118" t="s">
        <v>170</v>
      </c>
      <c r="BU61" s="78" t="s">
        <v>23</v>
      </c>
      <c r="BV61" s="122">
        <v>48</v>
      </c>
      <c r="BW61" s="78" t="s">
        <v>23</v>
      </c>
      <c r="BX61" s="78">
        <v>51</v>
      </c>
      <c r="BY61" s="112">
        <f t="shared" si="82"/>
        <v>2</v>
      </c>
      <c r="BZ61" s="112">
        <f t="shared" si="101"/>
        <v>4</v>
      </c>
      <c r="CA61" s="112">
        <f t="shared" si="102"/>
        <v>50</v>
      </c>
      <c r="CB61" s="114">
        <f t="shared" si="124"/>
        <v>100</v>
      </c>
      <c r="CC61" s="115"/>
      <c r="CD61" s="116">
        <f t="shared" si="103"/>
        <v>5</v>
      </c>
      <c r="CE61" s="117"/>
      <c r="CF61" s="155">
        <f t="shared" si="104"/>
        <v>750</v>
      </c>
      <c r="CG61" s="117"/>
      <c r="CH61" s="116">
        <f t="shared" si="125"/>
        <v>25</v>
      </c>
      <c r="CI61" s="117"/>
      <c r="CJ61" s="123"/>
      <c r="CK61" s="131">
        <v>9</v>
      </c>
      <c r="CL61" s="128" t="s">
        <v>121</v>
      </c>
      <c r="CM61" s="112" t="s">
        <v>21</v>
      </c>
      <c r="CN61" s="118" t="s">
        <v>170</v>
      </c>
      <c r="CO61" s="78"/>
      <c r="CP61" s="78"/>
      <c r="CQ61" s="78"/>
      <c r="CR61" s="78"/>
      <c r="CS61" s="78"/>
      <c r="CT61" s="112"/>
      <c r="CU61" s="112"/>
      <c r="CV61" s="112"/>
      <c r="CW61" s="112">
        <f t="shared" si="83"/>
        <v>0</v>
      </c>
      <c r="CX61" s="112">
        <f t="shared" si="105"/>
        <v>0</v>
      </c>
      <c r="CY61" s="112">
        <f t="shared" si="106"/>
        <v>0</v>
      </c>
      <c r="CZ61" s="114">
        <f t="shared" si="107"/>
        <v>0</v>
      </c>
      <c r="DA61" s="129"/>
      <c r="DB61" s="116">
        <f t="shared" si="108"/>
        <v>0</v>
      </c>
      <c r="DC61" s="130"/>
      <c r="DD61" s="116">
        <f t="shared" si="109"/>
        <v>750</v>
      </c>
      <c r="DE61" s="130"/>
      <c r="DF61" s="116">
        <f t="shared" si="110"/>
        <v>25</v>
      </c>
      <c r="DG61" s="11"/>
      <c r="DH61" s="1"/>
      <c r="DI61" s="131">
        <v>9</v>
      </c>
      <c r="DJ61" s="112" t="s">
        <v>156</v>
      </c>
      <c r="DK61" s="112" t="s">
        <v>21</v>
      </c>
      <c r="DL61" s="118" t="s">
        <v>170</v>
      </c>
      <c r="DM61" s="78"/>
      <c r="DN61" s="122"/>
      <c r="DO61" s="78"/>
      <c r="DP61" s="122"/>
      <c r="DQ61" s="78"/>
      <c r="DR61" s="122"/>
      <c r="DS61" s="122"/>
      <c r="DT61" s="112"/>
      <c r="DU61" s="112">
        <f t="shared" si="84"/>
        <v>0</v>
      </c>
      <c r="DV61" s="112">
        <f t="shared" si="111"/>
        <v>0</v>
      </c>
      <c r="DW61" s="112">
        <f t="shared" si="112"/>
        <v>0</v>
      </c>
      <c r="DX61" s="114">
        <f t="shared" si="113"/>
        <v>0</v>
      </c>
      <c r="DY61" s="129"/>
      <c r="DZ61" s="116">
        <f t="shared" si="114"/>
        <v>0</v>
      </c>
      <c r="EA61" s="130"/>
      <c r="EB61" s="116">
        <f t="shared" si="115"/>
        <v>750</v>
      </c>
      <c r="EC61" s="130"/>
      <c r="ED61" s="116">
        <f t="shared" si="116"/>
        <v>25</v>
      </c>
      <c r="EE61" s="11"/>
      <c r="EF61" s="1"/>
      <c r="EG61" s="16">
        <v>9</v>
      </c>
      <c r="EH61" s="112" t="s">
        <v>156</v>
      </c>
      <c r="EI61" s="112" t="s">
        <v>21</v>
      </c>
      <c r="EJ61" s="118" t="s">
        <v>170</v>
      </c>
      <c r="EK61" s="112"/>
      <c r="EL61" s="112"/>
      <c r="EM61" s="112"/>
      <c r="EN61" s="125"/>
      <c r="EO61" s="125"/>
      <c r="EP61" s="125"/>
      <c r="EQ61" s="125"/>
      <c r="ER61" s="112"/>
      <c r="ES61" s="112"/>
      <c r="ET61" s="112"/>
      <c r="EU61" s="112"/>
      <c r="EV61" s="112"/>
      <c r="EW61" s="112"/>
      <c r="EX61" s="112"/>
      <c r="EY61" s="112"/>
      <c r="EZ61" s="112"/>
      <c r="FA61" s="112">
        <f t="shared" si="85"/>
        <v>0</v>
      </c>
      <c r="FB61" s="112">
        <f t="shared" si="117"/>
        <v>0</v>
      </c>
      <c r="FC61" s="112">
        <f t="shared" si="118"/>
        <v>0</v>
      </c>
      <c r="FD61" s="114">
        <f t="shared" si="119"/>
        <v>0</v>
      </c>
      <c r="FE61" s="115"/>
      <c r="FF61" s="116">
        <f t="shared" si="120"/>
        <v>0</v>
      </c>
      <c r="FG61" s="117"/>
      <c r="FH61" s="116">
        <f t="shared" si="86"/>
        <v>750</v>
      </c>
      <c r="FI61" s="117"/>
      <c r="FJ61" s="116">
        <f t="shared" si="87"/>
        <v>25</v>
      </c>
      <c r="FK61" s="117"/>
      <c r="FL61" s="123"/>
      <c r="FM61" s="126"/>
      <c r="FN61" s="127">
        <f>EN61/3</f>
        <v>0</v>
      </c>
      <c r="FO61" s="127">
        <f t="shared" si="122"/>
        <v>0</v>
      </c>
    </row>
    <row r="62" spans="1:173" ht="20.100000000000001" customHeight="1" x14ac:dyDescent="0.25">
      <c r="A62" s="16">
        <v>10</v>
      </c>
      <c r="B62" s="234" t="s">
        <v>360</v>
      </c>
      <c r="C62" s="237" t="s">
        <v>21</v>
      </c>
      <c r="D62" s="232" t="s">
        <v>361</v>
      </c>
      <c r="E62" s="112">
        <v>3</v>
      </c>
      <c r="F62" s="112">
        <v>6</v>
      </c>
      <c r="G62" s="112">
        <v>9</v>
      </c>
      <c r="H62" s="112">
        <v>12</v>
      </c>
      <c r="I62" s="112">
        <f t="shared" si="75"/>
        <v>4</v>
      </c>
      <c r="J62" s="112">
        <f t="shared" si="88"/>
        <v>8</v>
      </c>
      <c r="K62" s="112">
        <f t="shared" si="123"/>
        <v>100</v>
      </c>
      <c r="L62" s="114">
        <f t="shared" si="89"/>
        <v>200</v>
      </c>
      <c r="M62" s="115"/>
      <c r="N62" s="116">
        <f t="shared" si="90"/>
        <v>10</v>
      </c>
      <c r="O62" s="117"/>
      <c r="P62" s="116">
        <f t="shared" si="91"/>
        <v>200</v>
      </c>
      <c r="Q62" s="117"/>
      <c r="R62" s="116">
        <f t="shared" si="92"/>
        <v>10</v>
      </c>
      <c r="S62" s="11"/>
      <c r="T62" s="1"/>
      <c r="U62" s="16">
        <v>10</v>
      </c>
      <c r="V62" s="112" t="s">
        <v>157</v>
      </c>
      <c r="W62" s="112" t="s">
        <v>21</v>
      </c>
      <c r="X62" s="113" t="s">
        <v>171</v>
      </c>
      <c r="Y62" s="78">
        <v>9</v>
      </c>
      <c r="Z62" s="122" t="s">
        <v>23</v>
      </c>
      <c r="AA62" s="78" t="s">
        <v>23</v>
      </c>
      <c r="AB62" s="122" t="s">
        <v>23</v>
      </c>
      <c r="AC62" s="78">
        <v>12</v>
      </c>
      <c r="AD62" s="78" t="s">
        <v>23</v>
      </c>
      <c r="AE62" s="122" t="s">
        <v>23</v>
      </c>
      <c r="AF62" s="78">
        <v>15</v>
      </c>
      <c r="AG62" s="112">
        <f t="shared" si="76"/>
        <v>3</v>
      </c>
      <c r="AH62" s="112">
        <f t="shared" si="93"/>
        <v>6</v>
      </c>
      <c r="AI62" s="112">
        <f t="shared" si="94"/>
        <v>37.5</v>
      </c>
      <c r="AJ62" s="114">
        <f t="shared" si="95"/>
        <v>150</v>
      </c>
      <c r="AK62" s="115"/>
      <c r="AL62" s="116">
        <f t="shared" si="96"/>
        <v>0</v>
      </c>
      <c r="AM62" s="117"/>
      <c r="AN62" s="116">
        <f t="shared" si="77"/>
        <v>350</v>
      </c>
      <c r="AO62" s="11"/>
      <c r="AP62" s="124">
        <f t="shared" si="78"/>
        <v>10</v>
      </c>
      <c r="AQ62" s="11"/>
      <c r="AR62" s="1"/>
      <c r="AS62" s="16">
        <v>10</v>
      </c>
      <c r="AT62" s="112" t="s">
        <v>157</v>
      </c>
      <c r="AU62" s="112" t="s">
        <v>21</v>
      </c>
      <c r="AV62" s="113" t="s">
        <v>171</v>
      </c>
      <c r="AW62" s="122">
        <v>18</v>
      </c>
      <c r="AX62" s="122">
        <v>21</v>
      </c>
      <c r="AY62" s="122">
        <v>24</v>
      </c>
      <c r="AZ62" s="122">
        <v>27</v>
      </c>
      <c r="BA62" s="122" t="s">
        <v>23</v>
      </c>
      <c r="BB62" s="122">
        <v>30</v>
      </c>
      <c r="BC62" s="125" t="s">
        <v>23</v>
      </c>
      <c r="BD62" s="125" t="s">
        <v>23</v>
      </c>
      <c r="BE62" s="112">
        <f t="shared" si="79"/>
        <v>5</v>
      </c>
      <c r="BF62" s="112">
        <f t="shared" si="97"/>
        <v>10</v>
      </c>
      <c r="BG62" s="112">
        <f t="shared" si="98"/>
        <v>83.333333333333343</v>
      </c>
      <c r="BH62" s="114">
        <f t="shared" si="99"/>
        <v>250</v>
      </c>
      <c r="BI62" s="115"/>
      <c r="BJ62" s="116">
        <f t="shared" si="100"/>
        <v>10</v>
      </c>
      <c r="BK62" s="117"/>
      <c r="BL62" s="116">
        <f t="shared" si="80"/>
        <v>600</v>
      </c>
      <c r="BM62" s="117"/>
      <c r="BN62" s="116">
        <f t="shared" si="81"/>
        <v>20</v>
      </c>
      <c r="BO62" s="11"/>
      <c r="BP62" s="1"/>
      <c r="BQ62" s="16">
        <v>10</v>
      </c>
      <c r="BR62" s="112" t="s">
        <v>157</v>
      </c>
      <c r="BS62" s="112" t="s">
        <v>21</v>
      </c>
      <c r="BT62" s="113" t="s">
        <v>171</v>
      </c>
      <c r="BU62" s="122">
        <v>33</v>
      </c>
      <c r="BV62" s="122">
        <v>36</v>
      </c>
      <c r="BW62" s="122" t="s">
        <v>23</v>
      </c>
      <c r="BX62" s="122" t="s">
        <v>23</v>
      </c>
      <c r="BY62" s="112">
        <f t="shared" si="82"/>
        <v>2</v>
      </c>
      <c r="BZ62" s="112">
        <f t="shared" si="101"/>
        <v>4</v>
      </c>
      <c r="CA62" s="112">
        <f t="shared" si="102"/>
        <v>50</v>
      </c>
      <c r="CB62" s="114">
        <f t="shared" si="124"/>
        <v>100</v>
      </c>
      <c r="CC62" s="115"/>
      <c r="CD62" s="116">
        <f t="shared" si="103"/>
        <v>5</v>
      </c>
      <c r="CE62" s="117"/>
      <c r="CF62" s="155">
        <f t="shared" si="104"/>
        <v>700</v>
      </c>
      <c r="CG62" s="117"/>
      <c r="CH62" s="116">
        <f t="shared" si="125"/>
        <v>25</v>
      </c>
      <c r="CI62" s="117"/>
      <c r="CJ62" s="123"/>
      <c r="CK62" s="131">
        <v>10</v>
      </c>
      <c r="CL62" s="128" t="s">
        <v>123</v>
      </c>
      <c r="CM62" s="112" t="s">
        <v>21</v>
      </c>
      <c r="CN62" s="113" t="s">
        <v>171</v>
      </c>
      <c r="CO62" s="78"/>
      <c r="CP62" s="78"/>
      <c r="CQ62" s="78"/>
      <c r="CR62" s="78"/>
      <c r="CS62" s="78"/>
      <c r="CT62" s="112"/>
      <c r="CU62" s="112"/>
      <c r="CV62" s="112"/>
      <c r="CW62" s="112">
        <f t="shared" si="83"/>
        <v>0</v>
      </c>
      <c r="CX62" s="112">
        <f t="shared" si="105"/>
        <v>0</v>
      </c>
      <c r="CY62" s="112">
        <f t="shared" si="106"/>
        <v>0</v>
      </c>
      <c r="CZ62" s="114">
        <f t="shared" si="107"/>
        <v>0</v>
      </c>
      <c r="DA62" s="129"/>
      <c r="DB62" s="116">
        <f t="shared" si="108"/>
        <v>0</v>
      </c>
      <c r="DC62" s="130"/>
      <c r="DD62" s="116">
        <f t="shared" si="109"/>
        <v>700</v>
      </c>
      <c r="DE62" s="130"/>
      <c r="DF62" s="116">
        <f t="shared" si="110"/>
        <v>25</v>
      </c>
      <c r="DG62" s="11"/>
      <c r="DH62" s="1"/>
      <c r="DI62" s="131">
        <v>10</v>
      </c>
      <c r="DJ62" s="112" t="s">
        <v>157</v>
      </c>
      <c r="DK62" s="112" t="s">
        <v>21</v>
      </c>
      <c r="DL62" s="113" t="s">
        <v>171</v>
      </c>
      <c r="DM62" s="122"/>
      <c r="DN62" s="122"/>
      <c r="DO62" s="122"/>
      <c r="DP62" s="122"/>
      <c r="DQ62" s="122"/>
      <c r="DR62" s="122"/>
      <c r="DS62" s="122"/>
      <c r="DT62" s="112"/>
      <c r="DU62" s="112">
        <f t="shared" si="84"/>
        <v>0</v>
      </c>
      <c r="DV62" s="112">
        <f t="shared" si="111"/>
        <v>0</v>
      </c>
      <c r="DW62" s="112">
        <f t="shared" si="112"/>
        <v>0</v>
      </c>
      <c r="DX62" s="114">
        <f t="shared" si="113"/>
        <v>0</v>
      </c>
      <c r="DY62" s="129"/>
      <c r="DZ62" s="116">
        <f t="shared" si="114"/>
        <v>0</v>
      </c>
      <c r="EA62" s="130"/>
      <c r="EB62" s="116">
        <f t="shared" si="115"/>
        <v>700</v>
      </c>
      <c r="EC62" s="130"/>
      <c r="ED62" s="116">
        <f t="shared" si="116"/>
        <v>25</v>
      </c>
      <c r="EE62" s="11"/>
      <c r="EF62" s="1"/>
      <c r="EG62" s="16">
        <v>10</v>
      </c>
      <c r="EH62" s="112" t="s">
        <v>157</v>
      </c>
      <c r="EI62" s="112" t="s">
        <v>21</v>
      </c>
      <c r="EJ62" s="113" t="s">
        <v>171</v>
      </c>
      <c r="EK62" s="112"/>
      <c r="EL62" s="112"/>
      <c r="EM62" s="112"/>
      <c r="EN62" s="125"/>
      <c r="EO62" s="125"/>
      <c r="EP62" s="125"/>
      <c r="EQ62" s="125"/>
      <c r="ER62" s="112"/>
      <c r="ES62" s="112"/>
      <c r="ET62" s="112"/>
      <c r="EU62" s="112"/>
      <c r="EV62" s="112"/>
      <c r="EW62" s="112"/>
      <c r="EX62" s="112"/>
      <c r="EY62" s="112"/>
      <c r="EZ62" s="112"/>
      <c r="FA62" s="112">
        <f t="shared" si="85"/>
        <v>0</v>
      </c>
      <c r="FB62" s="112">
        <f t="shared" si="117"/>
        <v>0</v>
      </c>
      <c r="FC62" s="112">
        <f t="shared" si="118"/>
        <v>0</v>
      </c>
      <c r="FD62" s="114">
        <f t="shared" si="119"/>
        <v>0</v>
      </c>
      <c r="FE62" s="115"/>
      <c r="FF62" s="116">
        <f t="shared" si="120"/>
        <v>0</v>
      </c>
      <c r="FG62" s="117"/>
      <c r="FH62" s="116">
        <f t="shared" si="86"/>
        <v>700</v>
      </c>
      <c r="FI62" s="117"/>
      <c r="FJ62" s="116">
        <f t="shared" si="87"/>
        <v>25</v>
      </c>
      <c r="FK62" s="117"/>
      <c r="FL62" s="123"/>
      <c r="FM62" s="126"/>
      <c r="FN62" s="127">
        <f>EL62/3</f>
        <v>0</v>
      </c>
      <c r="FO62" s="127">
        <f t="shared" si="122"/>
        <v>0</v>
      </c>
    </row>
    <row r="63" spans="1:173" ht="20.100000000000001" customHeight="1" x14ac:dyDescent="0.25">
      <c r="A63" s="16">
        <v>11</v>
      </c>
      <c r="B63" s="234" t="s">
        <v>362</v>
      </c>
      <c r="C63" s="237" t="s">
        <v>21</v>
      </c>
      <c r="D63" s="232" t="s">
        <v>363</v>
      </c>
      <c r="E63" s="112">
        <v>3</v>
      </c>
      <c r="F63" s="112">
        <v>6</v>
      </c>
      <c r="G63" s="112">
        <v>9</v>
      </c>
      <c r="H63" s="112">
        <v>12</v>
      </c>
      <c r="I63" s="112">
        <f t="shared" si="75"/>
        <v>4</v>
      </c>
      <c r="J63" s="112">
        <f t="shared" si="88"/>
        <v>8</v>
      </c>
      <c r="K63" s="112">
        <f t="shared" si="123"/>
        <v>100</v>
      </c>
      <c r="L63" s="114">
        <f t="shared" si="89"/>
        <v>200</v>
      </c>
      <c r="M63" s="115"/>
      <c r="N63" s="116">
        <f t="shared" si="90"/>
        <v>10</v>
      </c>
      <c r="O63" s="117"/>
      <c r="P63" s="116">
        <f t="shared" si="91"/>
        <v>200</v>
      </c>
      <c r="Q63" s="117"/>
      <c r="R63" s="116">
        <f t="shared" si="92"/>
        <v>10</v>
      </c>
      <c r="S63" s="11"/>
      <c r="T63" s="1"/>
      <c r="U63" s="16">
        <v>11</v>
      </c>
      <c r="V63" s="112" t="s">
        <v>158</v>
      </c>
      <c r="W63" s="112" t="s">
        <v>261</v>
      </c>
      <c r="X63" s="113" t="s">
        <v>172</v>
      </c>
      <c r="Y63" s="78">
        <v>12</v>
      </c>
      <c r="Z63" s="122">
        <v>15</v>
      </c>
      <c r="AA63" s="78">
        <v>18</v>
      </c>
      <c r="AB63" s="122">
        <v>21</v>
      </c>
      <c r="AC63" s="78">
        <v>24</v>
      </c>
      <c r="AD63" s="78" t="s">
        <v>23</v>
      </c>
      <c r="AE63" s="122">
        <v>27</v>
      </c>
      <c r="AF63" s="78">
        <v>30</v>
      </c>
      <c r="AG63" s="112">
        <f t="shared" si="76"/>
        <v>7</v>
      </c>
      <c r="AH63" s="112">
        <f t="shared" si="93"/>
        <v>14</v>
      </c>
      <c r="AI63" s="112">
        <f t="shared" si="94"/>
        <v>87.5</v>
      </c>
      <c r="AJ63" s="114">
        <f t="shared" si="95"/>
        <v>350</v>
      </c>
      <c r="AK63" s="115"/>
      <c r="AL63" s="116">
        <f t="shared" si="96"/>
        <v>10</v>
      </c>
      <c r="AM63" s="117"/>
      <c r="AN63" s="116">
        <f t="shared" si="77"/>
        <v>550</v>
      </c>
      <c r="AO63" s="11"/>
      <c r="AP63" s="124">
        <f t="shared" si="78"/>
        <v>20</v>
      </c>
      <c r="AQ63" s="11"/>
      <c r="AR63" s="1"/>
      <c r="AS63" s="16">
        <v>11</v>
      </c>
      <c r="AT63" s="112" t="s">
        <v>158</v>
      </c>
      <c r="AU63" s="112" t="s">
        <v>261</v>
      </c>
      <c r="AV63" s="113" t="s">
        <v>172</v>
      </c>
      <c r="AW63" s="122">
        <v>33</v>
      </c>
      <c r="AX63" s="122">
        <v>36</v>
      </c>
      <c r="AY63" s="122">
        <v>39</v>
      </c>
      <c r="AZ63" s="122">
        <v>42</v>
      </c>
      <c r="BA63" s="122">
        <v>45</v>
      </c>
      <c r="BB63" s="122" t="s">
        <v>23</v>
      </c>
      <c r="BC63" s="125" t="s">
        <v>23</v>
      </c>
      <c r="BD63" s="125">
        <v>48</v>
      </c>
      <c r="BE63" s="112">
        <f t="shared" si="79"/>
        <v>6</v>
      </c>
      <c r="BF63" s="112">
        <f t="shared" si="97"/>
        <v>12</v>
      </c>
      <c r="BG63" s="112">
        <f t="shared" si="98"/>
        <v>100</v>
      </c>
      <c r="BH63" s="114">
        <f t="shared" si="99"/>
        <v>300</v>
      </c>
      <c r="BI63" s="115"/>
      <c r="BJ63" s="116">
        <f t="shared" si="100"/>
        <v>10</v>
      </c>
      <c r="BK63" s="117"/>
      <c r="BL63" s="116">
        <f t="shared" si="80"/>
        <v>850</v>
      </c>
      <c r="BM63" s="117"/>
      <c r="BN63" s="116">
        <f t="shared" si="81"/>
        <v>30</v>
      </c>
      <c r="BO63" s="11"/>
      <c r="BP63" s="1"/>
      <c r="BQ63" s="16">
        <v>11</v>
      </c>
      <c r="BR63" s="112" t="s">
        <v>158</v>
      </c>
      <c r="BS63" s="112" t="s">
        <v>261</v>
      </c>
      <c r="BT63" s="113" t="s">
        <v>172</v>
      </c>
      <c r="BU63" s="122">
        <v>51</v>
      </c>
      <c r="BV63" s="122">
        <v>54</v>
      </c>
      <c r="BW63" s="122">
        <v>57</v>
      </c>
      <c r="BX63" s="122">
        <v>60</v>
      </c>
      <c r="BY63" s="112">
        <f t="shared" si="82"/>
        <v>4</v>
      </c>
      <c r="BZ63" s="112">
        <f t="shared" si="101"/>
        <v>8</v>
      </c>
      <c r="CA63" s="112">
        <f t="shared" si="102"/>
        <v>100</v>
      </c>
      <c r="CB63" s="114">
        <f t="shared" si="124"/>
        <v>200</v>
      </c>
      <c r="CC63" s="115"/>
      <c r="CD63" s="116">
        <f t="shared" si="103"/>
        <v>10</v>
      </c>
      <c r="CE63" s="117"/>
      <c r="CF63" s="155">
        <f t="shared" si="104"/>
        <v>1050</v>
      </c>
      <c r="CG63" s="117"/>
      <c r="CH63" s="116">
        <f t="shared" si="125"/>
        <v>40</v>
      </c>
      <c r="CI63" s="117"/>
      <c r="CJ63" s="123"/>
      <c r="CK63" s="131">
        <v>11</v>
      </c>
      <c r="CL63" s="128" t="s">
        <v>125</v>
      </c>
      <c r="CM63" s="112" t="s">
        <v>21</v>
      </c>
      <c r="CN63" s="113" t="s">
        <v>172</v>
      </c>
      <c r="CO63" s="78"/>
      <c r="CP63" s="78"/>
      <c r="CQ63" s="78"/>
      <c r="CR63" s="78"/>
      <c r="CS63" s="78"/>
      <c r="CT63" s="112"/>
      <c r="CU63" s="112"/>
      <c r="CV63" s="112"/>
      <c r="CW63" s="112">
        <f t="shared" si="83"/>
        <v>0</v>
      </c>
      <c r="CX63" s="112">
        <f t="shared" si="105"/>
        <v>0</v>
      </c>
      <c r="CY63" s="112">
        <f t="shared" si="106"/>
        <v>0</v>
      </c>
      <c r="CZ63" s="114">
        <f t="shared" si="107"/>
        <v>0</v>
      </c>
      <c r="DA63" s="129"/>
      <c r="DB63" s="116">
        <f t="shared" si="108"/>
        <v>0</v>
      </c>
      <c r="DC63" s="130"/>
      <c r="DD63" s="116">
        <f t="shared" si="109"/>
        <v>1050</v>
      </c>
      <c r="DE63" s="130"/>
      <c r="DF63" s="116">
        <f t="shared" si="110"/>
        <v>40</v>
      </c>
      <c r="DG63" s="11"/>
      <c r="DH63" s="1"/>
      <c r="DI63" s="131">
        <v>11</v>
      </c>
      <c r="DJ63" s="112" t="s">
        <v>158</v>
      </c>
      <c r="DK63" s="112" t="s">
        <v>21</v>
      </c>
      <c r="DL63" s="113" t="s">
        <v>172</v>
      </c>
      <c r="DM63" s="122"/>
      <c r="DN63" s="122"/>
      <c r="DO63" s="122"/>
      <c r="DP63" s="122"/>
      <c r="DQ63" s="122"/>
      <c r="DR63" s="122"/>
      <c r="DS63" s="122"/>
      <c r="DT63" s="112"/>
      <c r="DU63" s="112">
        <f t="shared" si="84"/>
        <v>0</v>
      </c>
      <c r="DV63" s="112">
        <f t="shared" si="111"/>
        <v>0</v>
      </c>
      <c r="DW63" s="112">
        <f t="shared" si="112"/>
        <v>0</v>
      </c>
      <c r="DX63" s="114">
        <f t="shared" si="113"/>
        <v>0</v>
      </c>
      <c r="DY63" s="129"/>
      <c r="DZ63" s="116">
        <f t="shared" si="114"/>
        <v>0</v>
      </c>
      <c r="EA63" s="130"/>
      <c r="EB63" s="116">
        <f t="shared" si="115"/>
        <v>1050</v>
      </c>
      <c r="EC63" s="130"/>
      <c r="ED63" s="116">
        <f t="shared" si="116"/>
        <v>40</v>
      </c>
      <c r="EE63" s="11"/>
      <c r="EF63" s="1"/>
      <c r="EG63" s="16">
        <v>11</v>
      </c>
      <c r="EH63" s="112" t="s">
        <v>158</v>
      </c>
      <c r="EI63" s="112" t="s">
        <v>21</v>
      </c>
      <c r="EJ63" s="113" t="s">
        <v>172</v>
      </c>
      <c r="EK63" s="112"/>
      <c r="EL63" s="112"/>
      <c r="EM63" s="112"/>
      <c r="EN63" s="125"/>
      <c r="EO63" s="125"/>
      <c r="EP63" s="125"/>
      <c r="EQ63" s="125"/>
      <c r="ER63" s="112"/>
      <c r="ES63" s="112"/>
      <c r="ET63" s="112"/>
      <c r="EU63" s="112"/>
      <c r="EV63" s="112"/>
      <c r="EW63" s="112"/>
      <c r="EX63" s="112"/>
      <c r="EY63" s="112"/>
      <c r="EZ63" s="112"/>
      <c r="FA63" s="112">
        <f t="shared" si="85"/>
        <v>0</v>
      </c>
      <c r="FB63" s="112">
        <f t="shared" si="117"/>
        <v>0</v>
      </c>
      <c r="FC63" s="112">
        <f t="shared" si="118"/>
        <v>0</v>
      </c>
      <c r="FD63" s="114">
        <f t="shared" si="119"/>
        <v>0</v>
      </c>
      <c r="FE63" s="115"/>
      <c r="FF63" s="116">
        <f t="shared" si="120"/>
        <v>0</v>
      </c>
      <c r="FG63" s="117"/>
      <c r="FH63" s="116">
        <f t="shared" si="86"/>
        <v>1050</v>
      </c>
      <c r="FI63" s="117"/>
      <c r="FJ63" s="116">
        <f t="shared" si="87"/>
        <v>40</v>
      </c>
      <c r="FK63" s="117"/>
      <c r="FL63" s="123"/>
      <c r="FM63" s="126"/>
      <c r="FN63" s="127">
        <f>EN63/3</f>
        <v>0</v>
      </c>
      <c r="FO63" s="127">
        <f t="shared" si="122"/>
        <v>0</v>
      </c>
    </row>
    <row r="64" spans="1:173" ht="20.100000000000001" customHeight="1" x14ac:dyDescent="0.25">
      <c r="A64" s="16">
        <v>12</v>
      </c>
      <c r="B64" s="234" t="s">
        <v>364</v>
      </c>
      <c r="C64" s="237" t="s">
        <v>21</v>
      </c>
      <c r="D64" s="232" t="s">
        <v>365</v>
      </c>
      <c r="E64" s="112" t="s">
        <v>23</v>
      </c>
      <c r="F64" s="112" t="s">
        <v>23</v>
      </c>
      <c r="G64" s="112" t="s">
        <v>23</v>
      </c>
      <c r="H64" s="112" t="s">
        <v>23</v>
      </c>
      <c r="I64" s="112">
        <f t="shared" si="75"/>
        <v>0</v>
      </c>
      <c r="J64" s="112">
        <f t="shared" si="88"/>
        <v>0</v>
      </c>
      <c r="K64" s="112">
        <f t="shared" si="123"/>
        <v>0</v>
      </c>
      <c r="L64" s="114">
        <f t="shared" si="89"/>
        <v>0</v>
      </c>
      <c r="M64" s="115"/>
      <c r="N64" s="116">
        <f t="shared" si="90"/>
        <v>0</v>
      </c>
      <c r="O64" s="117"/>
      <c r="P64" s="116">
        <f t="shared" si="91"/>
        <v>0</v>
      </c>
      <c r="Q64" s="117"/>
      <c r="R64" s="116">
        <f t="shared" si="92"/>
        <v>0</v>
      </c>
      <c r="S64" s="11"/>
      <c r="T64" s="1"/>
      <c r="U64" s="16">
        <v>12</v>
      </c>
      <c r="V64" s="112" t="s">
        <v>159</v>
      </c>
      <c r="W64" s="112" t="s">
        <v>21</v>
      </c>
      <c r="X64" s="113" t="s">
        <v>173</v>
      </c>
      <c r="Y64" s="78">
        <v>6</v>
      </c>
      <c r="Z64" s="122">
        <v>9</v>
      </c>
      <c r="AA64" s="78" t="s">
        <v>23</v>
      </c>
      <c r="AB64" s="122">
        <v>12</v>
      </c>
      <c r="AC64" s="78" t="s">
        <v>23</v>
      </c>
      <c r="AD64" s="78" t="s">
        <v>23</v>
      </c>
      <c r="AE64" s="122" t="s">
        <v>23</v>
      </c>
      <c r="AF64" s="78">
        <v>15</v>
      </c>
      <c r="AG64" s="112">
        <f t="shared" si="76"/>
        <v>4</v>
      </c>
      <c r="AH64" s="112">
        <f t="shared" si="93"/>
        <v>8</v>
      </c>
      <c r="AI64" s="112">
        <f t="shared" si="94"/>
        <v>50</v>
      </c>
      <c r="AJ64" s="114">
        <f t="shared" si="95"/>
        <v>200</v>
      </c>
      <c r="AK64" s="115"/>
      <c r="AL64" s="116">
        <f t="shared" si="96"/>
        <v>5</v>
      </c>
      <c r="AM64" s="117"/>
      <c r="AN64" s="116">
        <f t="shared" si="77"/>
        <v>200</v>
      </c>
      <c r="AO64" s="11"/>
      <c r="AP64" s="124">
        <f t="shared" si="78"/>
        <v>5</v>
      </c>
      <c r="AQ64" s="11"/>
      <c r="AR64" s="1"/>
      <c r="AS64" s="16">
        <v>12</v>
      </c>
      <c r="AT64" s="112" t="s">
        <v>159</v>
      </c>
      <c r="AU64" s="112" t="s">
        <v>21</v>
      </c>
      <c r="AV64" s="113" t="s">
        <v>173</v>
      </c>
      <c r="AW64" s="122" t="s">
        <v>23</v>
      </c>
      <c r="AX64" s="122" t="s">
        <v>23</v>
      </c>
      <c r="AY64" s="122">
        <v>18</v>
      </c>
      <c r="AZ64" s="122">
        <v>21</v>
      </c>
      <c r="BA64" s="122" t="s">
        <v>23</v>
      </c>
      <c r="BB64" s="122" t="s">
        <v>23</v>
      </c>
      <c r="BC64" s="125">
        <v>24</v>
      </c>
      <c r="BD64" s="125">
        <v>27</v>
      </c>
      <c r="BE64" s="112">
        <f t="shared" si="79"/>
        <v>4</v>
      </c>
      <c r="BF64" s="112">
        <f t="shared" si="97"/>
        <v>8</v>
      </c>
      <c r="BG64" s="112">
        <f t="shared" si="98"/>
        <v>66.666666666666657</v>
      </c>
      <c r="BH64" s="114">
        <f t="shared" si="99"/>
        <v>200</v>
      </c>
      <c r="BI64" s="115"/>
      <c r="BJ64" s="116">
        <f t="shared" si="100"/>
        <v>10</v>
      </c>
      <c r="BK64" s="117"/>
      <c r="BL64" s="116">
        <f t="shared" si="80"/>
        <v>400</v>
      </c>
      <c r="BM64" s="117"/>
      <c r="BN64" s="116">
        <f t="shared" si="81"/>
        <v>15</v>
      </c>
      <c r="BO64" s="11"/>
      <c r="BP64" s="1"/>
      <c r="BQ64" s="16">
        <v>12</v>
      </c>
      <c r="BR64" s="112" t="s">
        <v>159</v>
      </c>
      <c r="BS64" s="112" t="s">
        <v>21</v>
      </c>
      <c r="BT64" s="113" t="s">
        <v>173</v>
      </c>
      <c r="BU64" s="122" t="s">
        <v>23</v>
      </c>
      <c r="BV64" s="122" t="s">
        <v>23</v>
      </c>
      <c r="BW64" s="78" t="s">
        <v>23</v>
      </c>
      <c r="BX64" s="122" t="s">
        <v>23</v>
      </c>
      <c r="BY64" s="112">
        <f t="shared" si="82"/>
        <v>0</v>
      </c>
      <c r="BZ64" s="112">
        <f t="shared" si="101"/>
        <v>0</v>
      </c>
      <c r="CA64" s="112">
        <f t="shared" si="102"/>
        <v>0</v>
      </c>
      <c r="CB64" s="114">
        <f t="shared" si="124"/>
        <v>0</v>
      </c>
      <c r="CC64" s="115"/>
      <c r="CD64" s="116">
        <f t="shared" si="103"/>
        <v>0</v>
      </c>
      <c r="CE64" s="117"/>
      <c r="CF64" s="155">
        <f t="shared" si="104"/>
        <v>400</v>
      </c>
      <c r="CG64" s="117"/>
      <c r="CH64" s="116">
        <f t="shared" si="125"/>
        <v>15</v>
      </c>
      <c r="CI64" s="117"/>
      <c r="CJ64" s="123"/>
      <c r="CK64" s="131">
        <v>12</v>
      </c>
      <c r="CL64" s="128" t="s">
        <v>127</v>
      </c>
      <c r="CM64" s="112" t="s">
        <v>261</v>
      </c>
      <c r="CN64" s="113" t="s">
        <v>173</v>
      </c>
      <c r="CO64" s="78"/>
      <c r="CP64" s="78"/>
      <c r="CQ64" s="78"/>
      <c r="CR64" s="78"/>
      <c r="CS64" s="78"/>
      <c r="CT64" s="112"/>
      <c r="CU64" s="112"/>
      <c r="CV64" s="112"/>
      <c r="CW64" s="112">
        <f t="shared" si="83"/>
        <v>0</v>
      </c>
      <c r="CX64" s="112">
        <f t="shared" si="105"/>
        <v>0</v>
      </c>
      <c r="CY64" s="112">
        <f t="shared" si="106"/>
        <v>0</v>
      </c>
      <c r="CZ64" s="114">
        <f t="shared" si="107"/>
        <v>0</v>
      </c>
      <c r="DA64" s="129"/>
      <c r="DB64" s="116">
        <f t="shared" si="108"/>
        <v>0</v>
      </c>
      <c r="DC64" s="130"/>
      <c r="DD64" s="116">
        <f t="shared" si="109"/>
        <v>400</v>
      </c>
      <c r="DE64" s="130"/>
      <c r="DF64" s="116">
        <f t="shared" si="110"/>
        <v>15</v>
      </c>
      <c r="DG64" s="11"/>
      <c r="DH64" s="1"/>
      <c r="DI64" s="131">
        <v>12</v>
      </c>
      <c r="DJ64" s="112" t="s">
        <v>159</v>
      </c>
      <c r="DK64" s="112" t="s">
        <v>261</v>
      </c>
      <c r="DL64" s="113" t="s">
        <v>173</v>
      </c>
      <c r="DM64" s="122"/>
      <c r="DN64" s="122"/>
      <c r="DO64" s="122"/>
      <c r="DP64" s="122"/>
      <c r="DQ64" s="122"/>
      <c r="DR64" s="122"/>
      <c r="DS64" s="122"/>
      <c r="DT64" s="112"/>
      <c r="DU64" s="112">
        <f t="shared" si="84"/>
        <v>0</v>
      </c>
      <c r="DV64" s="112">
        <f t="shared" si="111"/>
        <v>0</v>
      </c>
      <c r="DW64" s="112">
        <f t="shared" si="112"/>
        <v>0</v>
      </c>
      <c r="DX64" s="114">
        <f t="shared" si="113"/>
        <v>0</v>
      </c>
      <c r="DY64" s="129"/>
      <c r="DZ64" s="116">
        <f t="shared" si="114"/>
        <v>0</v>
      </c>
      <c r="EA64" s="130"/>
      <c r="EB64" s="116">
        <f t="shared" si="115"/>
        <v>400</v>
      </c>
      <c r="EC64" s="130"/>
      <c r="ED64" s="116">
        <f t="shared" si="116"/>
        <v>15</v>
      </c>
      <c r="EE64" s="11"/>
      <c r="EF64" s="1"/>
      <c r="EG64" s="16">
        <v>12</v>
      </c>
      <c r="EH64" s="112" t="s">
        <v>159</v>
      </c>
      <c r="EI64" s="112" t="s">
        <v>261</v>
      </c>
      <c r="EJ64" s="113" t="s">
        <v>173</v>
      </c>
      <c r="EK64" s="112"/>
      <c r="EL64" s="112"/>
      <c r="EM64" s="112"/>
      <c r="EN64" s="125"/>
      <c r="EO64" s="125"/>
      <c r="EP64" s="125"/>
      <c r="EQ64" s="125"/>
      <c r="ER64" s="112"/>
      <c r="ES64" s="112"/>
      <c r="ET64" s="112"/>
      <c r="EU64" s="112"/>
      <c r="EV64" s="112"/>
      <c r="EW64" s="112"/>
      <c r="EX64" s="112"/>
      <c r="EY64" s="112"/>
      <c r="EZ64" s="112"/>
      <c r="FA64" s="112">
        <f t="shared" si="85"/>
        <v>0</v>
      </c>
      <c r="FB64" s="112">
        <f t="shared" si="117"/>
        <v>0</v>
      </c>
      <c r="FC64" s="112">
        <f t="shared" si="118"/>
        <v>0</v>
      </c>
      <c r="FD64" s="114">
        <f t="shared" si="119"/>
        <v>0</v>
      </c>
      <c r="FE64" s="115"/>
      <c r="FF64" s="116">
        <f t="shared" si="120"/>
        <v>0</v>
      </c>
      <c r="FG64" s="117"/>
      <c r="FH64" s="116">
        <f t="shared" si="86"/>
        <v>400</v>
      </c>
      <c r="FI64" s="117"/>
      <c r="FJ64" s="116">
        <f t="shared" si="87"/>
        <v>15</v>
      </c>
      <c r="FK64" s="117"/>
      <c r="FL64" s="123"/>
      <c r="FM64" s="126"/>
      <c r="FN64" s="127">
        <f>EM64/3</f>
        <v>0</v>
      </c>
      <c r="FO64" s="127">
        <f t="shared" si="122"/>
        <v>0</v>
      </c>
    </row>
    <row r="65" spans="1:174" ht="20.100000000000001" customHeight="1" x14ac:dyDescent="0.25">
      <c r="A65" s="16">
        <v>13</v>
      </c>
      <c r="B65" s="234" t="s">
        <v>366</v>
      </c>
      <c r="C65" s="237" t="s">
        <v>21</v>
      </c>
      <c r="D65" s="232" t="s">
        <v>367</v>
      </c>
      <c r="E65" s="112">
        <v>3</v>
      </c>
      <c r="F65" s="112" t="s">
        <v>23</v>
      </c>
      <c r="G65" s="112">
        <v>6</v>
      </c>
      <c r="H65" s="112">
        <v>12</v>
      </c>
      <c r="I65" s="112">
        <f t="shared" si="75"/>
        <v>3</v>
      </c>
      <c r="J65" s="112">
        <f t="shared" si="88"/>
        <v>6</v>
      </c>
      <c r="K65" s="112">
        <f t="shared" si="123"/>
        <v>75</v>
      </c>
      <c r="L65" s="114">
        <f t="shared" si="89"/>
        <v>150</v>
      </c>
      <c r="M65" s="115"/>
      <c r="N65" s="116">
        <f t="shared" si="90"/>
        <v>10</v>
      </c>
      <c r="O65" s="117"/>
      <c r="P65" s="116">
        <f t="shared" si="91"/>
        <v>150</v>
      </c>
      <c r="Q65" s="117"/>
      <c r="R65" s="116">
        <f t="shared" si="92"/>
        <v>10</v>
      </c>
      <c r="S65" s="11"/>
      <c r="T65" s="1"/>
      <c r="U65" s="16">
        <v>13</v>
      </c>
      <c r="V65" s="112" t="s">
        <v>160</v>
      </c>
      <c r="W65" s="112" t="s">
        <v>262</v>
      </c>
      <c r="X65" s="118" t="s">
        <v>174</v>
      </c>
      <c r="Y65" s="78">
        <v>15</v>
      </c>
      <c r="Z65" s="122">
        <v>18</v>
      </c>
      <c r="AA65" s="78">
        <v>21</v>
      </c>
      <c r="AB65" s="122">
        <v>24</v>
      </c>
      <c r="AC65" s="78">
        <v>27</v>
      </c>
      <c r="AD65" s="78">
        <v>30</v>
      </c>
      <c r="AE65" s="122">
        <v>33</v>
      </c>
      <c r="AF65" s="78">
        <v>36</v>
      </c>
      <c r="AG65" s="112">
        <f t="shared" si="76"/>
        <v>8</v>
      </c>
      <c r="AH65" s="112">
        <f t="shared" si="93"/>
        <v>16</v>
      </c>
      <c r="AI65" s="112">
        <f t="shared" si="94"/>
        <v>100</v>
      </c>
      <c r="AJ65" s="114">
        <f t="shared" si="95"/>
        <v>400</v>
      </c>
      <c r="AK65" s="115"/>
      <c r="AL65" s="116">
        <f t="shared" si="96"/>
        <v>10</v>
      </c>
      <c r="AM65" s="117"/>
      <c r="AN65" s="116">
        <f t="shared" si="77"/>
        <v>550</v>
      </c>
      <c r="AO65" s="11"/>
      <c r="AP65" s="124">
        <f t="shared" si="78"/>
        <v>20</v>
      </c>
      <c r="AQ65" s="11"/>
      <c r="AR65" s="1"/>
      <c r="AS65" s="16">
        <v>13</v>
      </c>
      <c r="AT65" s="112" t="s">
        <v>160</v>
      </c>
      <c r="AU65" s="112" t="s">
        <v>262</v>
      </c>
      <c r="AV65" s="118" t="s">
        <v>174</v>
      </c>
      <c r="AW65" s="122" t="s">
        <v>23</v>
      </c>
      <c r="AX65" s="122" t="s">
        <v>23</v>
      </c>
      <c r="AY65" s="122">
        <v>39</v>
      </c>
      <c r="AZ65" s="122" t="s">
        <v>23</v>
      </c>
      <c r="BA65" s="122" t="s">
        <v>23</v>
      </c>
      <c r="BB65" s="122" t="s">
        <v>23</v>
      </c>
      <c r="BC65" s="112">
        <v>42</v>
      </c>
      <c r="BD65" s="112">
        <v>45</v>
      </c>
      <c r="BE65" s="112">
        <f t="shared" si="79"/>
        <v>3</v>
      </c>
      <c r="BF65" s="112">
        <f t="shared" si="97"/>
        <v>6</v>
      </c>
      <c r="BG65" s="112">
        <f t="shared" si="98"/>
        <v>50</v>
      </c>
      <c r="BH65" s="114">
        <f t="shared" si="99"/>
        <v>150</v>
      </c>
      <c r="BI65" s="115"/>
      <c r="BJ65" s="116">
        <f t="shared" si="100"/>
        <v>5</v>
      </c>
      <c r="BK65" s="117"/>
      <c r="BL65" s="116">
        <f t="shared" si="80"/>
        <v>700</v>
      </c>
      <c r="BM65" s="117"/>
      <c r="BN65" s="116">
        <f t="shared" si="81"/>
        <v>25</v>
      </c>
      <c r="BO65" s="11"/>
      <c r="BP65" s="1"/>
      <c r="BQ65" s="16">
        <v>13</v>
      </c>
      <c r="BR65" s="112" t="s">
        <v>160</v>
      </c>
      <c r="BS65" s="112" t="s">
        <v>262</v>
      </c>
      <c r="BT65" s="118" t="s">
        <v>174</v>
      </c>
      <c r="BU65" s="78">
        <v>48</v>
      </c>
      <c r="BV65" s="122">
        <v>51</v>
      </c>
      <c r="BW65" s="122">
        <v>54</v>
      </c>
      <c r="BX65" s="122">
        <v>57</v>
      </c>
      <c r="BY65" s="112">
        <f t="shared" si="82"/>
        <v>4</v>
      </c>
      <c r="BZ65" s="112">
        <f t="shared" si="101"/>
        <v>8</v>
      </c>
      <c r="CA65" s="112">
        <f t="shared" si="102"/>
        <v>100</v>
      </c>
      <c r="CB65" s="114">
        <f t="shared" si="124"/>
        <v>200</v>
      </c>
      <c r="CC65" s="115"/>
      <c r="CD65" s="116">
        <f t="shared" si="103"/>
        <v>10</v>
      </c>
      <c r="CE65" s="117"/>
      <c r="CF65" s="155">
        <f t="shared" si="104"/>
        <v>900</v>
      </c>
      <c r="CG65" s="117"/>
      <c r="CH65" s="116">
        <f t="shared" si="125"/>
        <v>35</v>
      </c>
      <c r="CI65" s="117"/>
      <c r="CJ65" s="123"/>
      <c r="CK65" s="131">
        <v>13</v>
      </c>
      <c r="CL65" s="128" t="s">
        <v>129</v>
      </c>
      <c r="CM65" s="112" t="s">
        <v>263</v>
      </c>
      <c r="CN65" s="118" t="s">
        <v>174</v>
      </c>
      <c r="CO65" s="78"/>
      <c r="CP65" s="78"/>
      <c r="CQ65" s="78"/>
      <c r="CR65" s="78"/>
      <c r="CS65" s="78"/>
      <c r="CT65" s="112"/>
      <c r="CU65" s="112"/>
      <c r="CV65" s="112"/>
      <c r="CW65" s="112">
        <f t="shared" si="83"/>
        <v>0</v>
      </c>
      <c r="CX65" s="112">
        <f t="shared" si="105"/>
        <v>0</v>
      </c>
      <c r="CY65" s="112">
        <f t="shared" si="106"/>
        <v>0</v>
      </c>
      <c r="CZ65" s="114">
        <f t="shared" si="107"/>
        <v>0</v>
      </c>
      <c r="DA65" s="129"/>
      <c r="DB65" s="116">
        <f t="shared" si="108"/>
        <v>0</v>
      </c>
      <c r="DC65" s="130"/>
      <c r="DD65" s="116">
        <f t="shared" si="109"/>
        <v>900</v>
      </c>
      <c r="DE65" s="130"/>
      <c r="DF65" s="116">
        <f t="shared" si="110"/>
        <v>35</v>
      </c>
      <c r="DG65" s="11"/>
      <c r="DH65" s="1"/>
      <c r="DI65" s="131">
        <v>13</v>
      </c>
      <c r="DJ65" s="112" t="s">
        <v>160</v>
      </c>
      <c r="DK65" s="112" t="s">
        <v>263</v>
      </c>
      <c r="DL65" s="118" t="s">
        <v>174</v>
      </c>
      <c r="DM65" s="122"/>
      <c r="DN65" s="122"/>
      <c r="DO65" s="78"/>
      <c r="DP65" s="122"/>
      <c r="DQ65" s="122"/>
      <c r="DR65" s="122"/>
      <c r="DS65" s="122"/>
      <c r="DT65" s="112"/>
      <c r="DU65" s="112">
        <f t="shared" si="84"/>
        <v>0</v>
      </c>
      <c r="DV65" s="112">
        <f t="shared" si="111"/>
        <v>0</v>
      </c>
      <c r="DW65" s="112">
        <f t="shared" si="112"/>
        <v>0</v>
      </c>
      <c r="DX65" s="114">
        <f t="shared" si="113"/>
        <v>0</v>
      </c>
      <c r="DY65" s="129"/>
      <c r="DZ65" s="116">
        <f t="shared" si="114"/>
        <v>0</v>
      </c>
      <c r="EA65" s="130"/>
      <c r="EB65" s="116">
        <f t="shared" si="115"/>
        <v>900</v>
      </c>
      <c r="EC65" s="130"/>
      <c r="ED65" s="116">
        <f t="shared" si="116"/>
        <v>35</v>
      </c>
      <c r="EE65" s="11"/>
      <c r="EF65" s="1"/>
      <c r="EG65" s="16">
        <v>13</v>
      </c>
      <c r="EH65" s="112" t="s">
        <v>160</v>
      </c>
      <c r="EI65" s="112" t="s">
        <v>263</v>
      </c>
      <c r="EJ65" s="118" t="s">
        <v>174</v>
      </c>
      <c r="EK65" s="112"/>
      <c r="EL65" s="112"/>
      <c r="EM65" s="112"/>
      <c r="EN65" s="125"/>
      <c r="EO65" s="125"/>
      <c r="EP65" s="125"/>
      <c r="EQ65" s="125"/>
      <c r="ER65" s="112"/>
      <c r="ES65" s="112"/>
      <c r="ET65" s="112"/>
      <c r="EU65" s="112"/>
      <c r="EV65" s="112"/>
      <c r="EW65" s="112"/>
      <c r="EX65" s="112"/>
      <c r="EY65" s="112"/>
      <c r="EZ65" s="112"/>
      <c r="FA65" s="112">
        <f t="shared" si="85"/>
        <v>0</v>
      </c>
      <c r="FB65" s="112">
        <f t="shared" si="117"/>
        <v>0</v>
      </c>
      <c r="FC65" s="112">
        <f t="shared" si="118"/>
        <v>0</v>
      </c>
      <c r="FD65" s="114">
        <f t="shared" si="119"/>
        <v>0</v>
      </c>
      <c r="FE65" s="115"/>
      <c r="FF65" s="116">
        <f t="shared" si="120"/>
        <v>0</v>
      </c>
      <c r="FG65" s="117"/>
      <c r="FH65" s="116">
        <f t="shared" si="86"/>
        <v>900</v>
      </c>
      <c r="FI65" s="117"/>
      <c r="FJ65" s="116">
        <f t="shared" si="87"/>
        <v>35</v>
      </c>
      <c r="FK65" s="117"/>
      <c r="FL65" s="123"/>
      <c r="FM65" s="126"/>
      <c r="FN65" s="127">
        <f>EN65/3</f>
        <v>0</v>
      </c>
      <c r="FO65" s="127">
        <f t="shared" si="122"/>
        <v>0</v>
      </c>
    </row>
    <row r="66" spans="1:174" ht="20.100000000000001" customHeight="1" x14ac:dyDescent="0.25">
      <c r="A66" s="16">
        <v>14</v>
      </c>
      <c r="B66" s="234" t="s">
        <v>368</v>
      </c>
      <c r="C66" s="237" t="s">
        <v>21</v>
      </c>
      <c r="D66" s="232" t="s">
        <v>369</v>
      </c>
      <c r="E66" s="112">
        <v>3</v>
      </c>
      <c r="F66" s="112">
        <v>6</v>
      </c>
      <c r="G66" s="112">
        <v>9</v>
      </c>
      <c r="H66" s="112">
        <v>12</v>
      </c>
      <c r="I66" s="112">
        <f t="shared" si="75"/>
        <v>4</v>
      </c>
      <c r="J66" s="112">
        <f t="shared" si="88"/>
        <v>8</v>
      </c>
      <c r="K66" s="112">
        <f t="shared" si="123"/>
        <v>100</v>
      </c>
      <c r="L66" s="114">
        <f t="shared" si="89"/>
        <v>200</v>
      </c>
      <c r="M66" s="115"/>
      <c r="N66" s="116">
        <f t="shared" si="90"/>
        <v>10</v>
      </c>
      <c r="O66" s="117"/>
      <c r="P66" s="116">
        <f t="shared" si="91"/>
        <v>200</v>
      </c>
      <c r="Q66" s="117"/>
      <c r="R66" s="116">
        <f t="shared" si="92"/>
        <v>10</v>
      </c>
      <c r="S66" s="11"/>
      <c r="T66" s="1"/>
      <c r="U66" s="16">
        <v>14</v>
      </c>
      <c r="V66" s="112" t="s">
        <v>161</v>
      </c>
      <c r="W66" s="112" t="s">
        <v>261</v>
      </c>
      <c r="X66" s="118" t="s">
        <v>175</v>
      </c>
      <c r="Y66" s="78">
        <v>15</v>
      </c>
      <c r="Z66" s="122">
        <v>18</v>
      </c>
      <c r="AA66" s="78" t="s">
        <v>23</v>
      </c>
      <c r="AB66" s="122">
        <v>21</v>
      </c>
      <c r="AC66" s="78">
        <v>24</v>
      </c>
      <c r="AD66" s="78">
        <v>27</v>
      </c>
      <c r="AE66" s="122">
        <v>30</v>
      </c>
      <c r="AF66" s="78">
        <v>33</v>
      </c>
      <c r="AG66" s="112">
        <f t="shared" si="76"/>
        <v>7</v>
      </c>
      <c r="AH66" s="112">
        <f t="shared" si="93"/>
        <v>14</v>
      </c>
      <c r="AI66" s="112">
        <f t="shared" si="94"/>
        <v>87.5</v>
      </c>
      <c r="AJ66" s="114">
        <f t="shared" si="95"/>
        <v>350</v>
      </c>
      <c r="AK66" s="115"/>
      <c r="AL66" s="116">
        <f t="shared" si="96"/>
        <v>10</v>
      </c>
      <c r="AM66" s="117"/>
      <c r="AN66" s="116">
        <f t="shared" si="77"/>
        <v>550</v>
      </c>
      <c r="AO66" s="11"/>
      <c r="AP66" s="124">
        <f t="shared" si="78"/>
        <v>20</v>
      </c>
      <c r="AQ66" s="11"/>
      <c r="AR66" s="1"/>
      <c r="AS66" s="16">
        <v>14</v>
      </c>
      <c r="AT66" s="112" t="s">
        <v>161</v>
      </c>
      <c r="AU66" s="112" t="s">
        <v>261</v>
      </c>
      <c r="AV66" s="118" t="s">
        <v>175</v>
      </c>
      <c r="AW66" s="122">
        <v>36</v>
      </c>
      <c r="AX66" s="122">
        <v>39</v>
      </c>
      <c r="AY66" s="122" t="s">
        <v>23</v>
      </c>
      <c r="AZ66" s="122" t="s">
        <v>23</v>
      </c>
      <c r="BA66" s="122">
        <v>42</v>
      </c>
      <c r="BB66" s="78">
        <v>45</v>
      </c>
      <c r="BC66" s="125">
        <v>48</v>
      </c>
      <c r="BD66" s="125">
        <v>51</v>
      </c>
      <c r="BE66" s="112">
        <f t="shared" si="79"/>
        <v>6</v>
      </c>
      <c r="BF66" s="112">
        <f t="shared" si="97"/>
        <v>12</v>
      </c>
      <c r="BG66" s="112">
        <f t="shared" si="98"/>
        <v>100</v>
      </c>
      <c r="BH66" s="114">
        <f t="shared" si="99"/>
        <v>300</v>
      </c>
      <c r="BI66" s="115"/>
      <c r="BJ66" s="116">
        <f t="shared" si="100"/>
        <v>10</v>
      </c>
      <c r="BK66" s="117"/>
      <c r="BL66" s="116">
        <f t="shared" si="80"/>
        <v>850</v>
      </c>
      <c r="BM66" s="117"/>
      <c r="BN66" s="116">
        <f t="shared" si="81"/>
        <v>30</v>
      </c>
      <c r="BO66" s="11"/>
      <c r="BP66" s="1"/>
      <c r="BQ66" s="16">
        <v>14</v>
      </c>
      <c r="BR66" s="112" t="s">
        <v>161</v>
      </c>
      <c r="BS66" s="112" t="s">
        <v>261</v>
      </c>
      <c r="BT66" s="118" t="s">
        <v>175</v>
      </c>
      <c r="BU66" s="122">
        <v>54</v>
      </c>
      <c r="BV66" s="78">
        <v>57</v>
      </c>
      <c r="BW66" s="122">
        <v>60</v>
      </c>
      <c r="BX66" s="122">
        <v>63</v>
      </c>
      <c r="BY66" s="112">
        <f t="shared" si="82"/>
        <v>4</v>
      </c>
      <c r="BZ66" s="112">
        <f t="shared" si="101"/>
        <v>8</v>
      </c>
      <c r="CA66" s="112">
        <f t="shared" si="102"/>
        <v>100</v>
      </c>
      <c r="CB66" s="114">
        <f t="shared" si="124"/>
        <v>200</v>
      </c>
      <c r="CC66" s="115"/>
      <c r="CD66" s="116">
        <f t="shared" si="103"/>
        <v>10</v>
      </c>
      <c r="CE66" s="117"/>
      <c r="CF66" s="155">
        <f t="shared" si="104"/>
        <v>1050</v>
      </c>
      <c r="CG66" s="117"/>
      <c r="CH66" s="116">
        <f t="shared" si="125"/>
        <v>40</v>
      </c>
      <c r="CI66" s="117"/>
      <c r="CJ66" s="123"/>
      <c r="CK66" s="131">
        <v>14</v>
      </c>
      <c r="CL66" s="128" t="s">
        <v>131</v>
      </c>
      <c r="CM66" s="112" t="s">
        <v>21</v>
      </c>
      <c r="CN66" s="118" t="s">
        <v>175</v>
      </c>
      <c r="CO66" s="78"/>
      <c r="CP66" s="78"/>
      <c r="CQ66" s="78"/>
      <c r="CR66" s="78"/>
      <c r="CS66" s="78"/>
      <c r="CT66" s="112"/>
      <c r="CU66" s="112"/>
      <c r="CV66" s="112"/>
      <c r="CW66" s="112">
        <f t="shared" si="83"/>
        <v>0</v>
      </c>
      <c r="CX66" s="112">
        <f t="shared" si="105"/>
        <v>0</v>
      </c>
      <c r="CY66" s="112">
        <f t="shared" si="106"/>
        <v>0</v>
      </c>
      <c r="CZ66" s="114">
        <f t="shared" si="107"/>
        <v>0</v>
      </c>
      <c r="DA66" s="129"/>
      <c r="DB66" s="116">
        <f t="shared" si="108"/>
        <v>0</v>
      </c>
      <c r="DC66" s="130"/>
      <c r="DD66" s="116">
        <f t="shared" si="109"/>
        <v>1050</v>
      </c>
      <c r="DE66" s="130"/>
      <c r="DF66" s="116">
        <f t="shared" si="110"/>
        <v>40</v>
      </c>
      <c r="DG66" s="11"/>
      <c r="DH66" s="1"/>
      <c r="DI66" s="131">
        <v>14</v>
      </c>
      <c r="DJ66" s="112" t="s">
        <v>161</v>
      </c>
      <c r="DK66" s="112" t="s">
        <v>21</v>
      </c>
      <c r="DL66" s="118" t="s">
        <v>175</v>
      </c>
      <c r="DM66" s="122"/>
      <c r="DN66" s="122"/>
      <c r="DO66" s="122"/>
      <c r="DP66" s="122"/>
      <c r="DQ66" s="122"/>
      <c r="DR66" s="122"/>
      <c r="DS66" s="122"/>
      <c r="DT66" s="112"/>
      <c r="DU66" s="112">
        <f t="shared" si="84"/>
        <v>0</v>
      </c>
      <c r="DV66" s="112">
        <f t="shared" si="111"/>
        <v>0</v>
      </c>
      <c r="DW66" s="112">
        <f t="shared" si="112"/>
        <v>0</v>
      </c>
      <c r="DX66" s="114">
        <f t="shared" si="113"/>
        <v>0</v>
      </c>
      <c r="DY66" s="129"/>
      <c r="DZ66" s="116">
        <f t="shared" si="114"/>
        <v>0</v>
      </c>
      <c r="EA66" s="130"/>
      <c r="EB66" s="116">
        <f t="shared" si="115"/>
        <v>1050</v>
      </c>
      <c r="EC66" s="130"/>
      <c r="ED66" s="116">
        <f t="shared" si="116"/>
        <v>40</v>
      </c>
      <c r="EE66" s="11"/>
      <c r="EF66" s="1"/>
      <c r="EG66" s="16">
        <v>14</v>
      </c>
      <c r="EH66" s="112" t="s">
        <v>161</v>
      </c>
      <c r="EI66" s="112" t="s">
        <v>21</v>
      </c>
      <c r="EJ66" s="118" t="s">
        <v>175</v>
      </c>
      <c r="EK66" s="112"/>
      <c r="EL66" s="112"/>
      <c r="EM66" s="112"/>
      <c r="EN66" s="125"/>
      <c r="EO66" s="125"/>
      <c r="EP66" s="125"/>
      <c r="EQ66" s="125"/>
      <c r="ER66" s="112"/>
      <c r="ES66" s="112"/>
      <c r="ET66" s="112"/>
      <c r="EU66" s="112"/>
      <c r="EV66" s="112"/>
      <c r="EW66" s="112"/>
      <c r="EX66" s="112"/>
      <c r="EY66" s="112"/>
      <c r="EZ66" s="112"/>
      <c r="FA66" s="112">
        <f t="shared" si="85"/>
        <v>0</v>
      </c>
      <c r="FB66" s="112">
        <f t="shared" si="117"/>
        <v>0</v>
      </c>
      <c r="FC66" s="112">
        <f t="shared" si="118"/>
        <v>0</v>
      </c>
      <c r="FD66" s="114">
        <f t="shared" si="119"/>
        <v>0</v>
      </c>
      <c r="FE66" s="115"/>
      <c r="FF66" s="116">
        <f t="shared" si="120"/>
        <v>0</v>
      </c>
      <c r="FG66" s="117"/>
      <c r="FH66" s="116">
        <f t="shared" si="86"/>
        <v>1050</v>
      </c>
      <c r="FI66" s="117"/>
      <c r="FJ66" s="116">
        <f t="shared" si="87"/>
        <v>40</v>
      </c>
      <c r="FK66" s="117"/>
      <c r="FL66" s="123"/>
      <c r="FM66" s="126"/>
      <c r="FN66" s="127">
        <f>EN66/3</f>
        <v>0</v>
      </c>
      <c r="FO66" s="127">
        <f t="shared" si="122"/>
        <v>0</v>
      </c>
    </row>
    <row r="67" spans="1:174" ht="20.100000000000001" customHeight="1" x14ac:dyDescent="0.25">
      <c r="A67" s="16">
        <v>15</v>
      </c>
      <c r="B67" s="234" t="s">
        <v>370</v>
      </c>
      <c r="C67" s="237" t="s">
        <v>21</v>
      </c>
      <c r="D67" s="232" t="s">
        <v>371</v>
      </c>
      <c r="E67" s="112">
        <v>3</v>
      </c>
      <c r="F67" s="112" t="s">
        <v>23</v>
      </c>
      <c r="G67" s="112">
        <v>6</v>
      </c>
      <c r="H67" s="112">
        <v>9</v>
      </c>
      <c r="I67" s="112">
        <f t="shared" si="75"/>
        <v>3</v>
      </c>
      <c r="J67" s="112">
        <f t="shared" si="88"/>
        <v>6</v>
      </c>
      <c r="K67" s="112">
        <f t="shared" si="123"/>
        <v>75</v>
      </c>
      <c r="L67" s="114">
        <f t="shared" si="89"/>
        <v>150</v>
      </c>
      <c r="M67" s="115"/>
      <c r="N67" s="116">
        <f t="shared" si="90"/>
        <v>10</v>
      </c>
      <c r="O67" s="117"/>
      <c r="P67" s="116">
        <f t="shared" si="91"/>
        <v>150</v>
      </c>
      <c r="Q67" s="117"/>
      <c r="R67" s="116">
        <f t="shared" si="92"/>
        <v>10</v>
      </c>
      <c r="S67" s="11"/>
      <c r="T67" s="1"/>
      <c r="U67" s="16">
        <v>15</v>
      </c>
      <c r="V67" s="112" t="s">
        <v>264</v>
      </c>
      <c r="W67" s="112" t="s">
        <v>21</v>
      </c>
      <c r="X67" s="119" t="s">
        <v>176</v>
      </c>
      <c r="Y67" s="78" t="s">
        <v>23</v>
      </c>
      <c r="Z67" s="122" t="s">
        <v>23</v>
      </c>
      <c r="AA67" s="78">
        <v>9</v>
      </c>
      <c r="AB67" s="122" t="s">
        <v>23</v>
      </c>
      <c r="AC67" s="78">
        <v>12</v>
      </c>
      <c r="AD67" s="78" t="s">
        <v>23</v>
      </c>
      <c r="AE67" s="122">
        <v>15</v>
      </c>
      <c r="AF67" s="78" t="s">
        <v>23</v>
      </c>
      <c r="AG67" s="112">
        <f t="shared" si="76"/>
        <v>3</v>
      </c>
      <c r="AH67" s="112">
        <f t="shared" si="93"/>
        <v>6</v>
      </c>
      <c r="AI67" s="112">
        <f t="shared" si="94"/>
        <v>37.5</v>
      </c>
      <c r="AJ67" s="114">
        <f t="shared" si="95"/>
        <v>150</v>
      </c>
      <c r="AK67" s="115"/>
      <c r="AL67" s="116">
        <f t="shared" si="96"/>
        <v>0</v>
      </c>
      <c r="AM67" s="117"/>
      <c r="AN67" s="116">
        <f t="shared" si="77"/>
        <v>300</v>
      </c>
      <c r="AO67" s="11"/>
      <c r="AP67" s="124">
        <f t="shared" si="78"/>
        <v>10</v>
      </c>
      <c r="AQ67" s="11"/>
      <c r="AR67" s="1"/>
      <c r="AS67" s="16">
        <v>15</v>
      </c>
      <c r="AT67" s="112" t="s">
        <v>264</v>
      </c>
      <c r="AU67" s="112" t="s">
        <v>21</v>
      </c>
      <c r="AV67" s="119" t="s">
        <v>176</v>
      </c>
      <c r="AW67" s="78" t="s">
        <v>23</v>
      </c>
      <c r="AX67" s="122" t="s">
        <v>23</v>
      </c>
      <c r="AY67" s="122">
        <v>18</v>
      </c>
      <c r="AZ67" s="78" t="s">
        <v>23</v>
      </c>
      <c r="BA67" s="78" t="s">
        <v>23</v>
      </c>
      <c r="BB67" s="122">
        <v>21</v>
      </c>
      <c r="BC67" s="125" t="s">
        <v>23</v>
      </c>
      <c r="BD67" s="125" t="s">
        <v>23</v>
      </c>
      <c r="BE67" s="112">
        <f t="shared" si="79"/>
        <v>2</v>
      </c>
      <c r="BF67" s="112">
        <f t="shared" si="97"/>
        <v>4</v>
      </c>
      <c r="BG67" s="112">
        <f t="shared" si="98"/>
        <v>33.333333333333329</v>
      </c>
      <c r="BH67" s="114">
        <f t="shared" si="99"/>
        <v>100</v>
      </c>
      <c r="BI67" s="115"/>
      <c r="BJ67" s="116">
        <f t="shared" si="100"/>
        <v>0</v>
      </c>
      <c r="BK67" s="117"/>
      <c r="BL67" s="116">
        <f t="shared" si="80"/>
        <v>400</v>
      </c>
      <c r="BM67" s="117"/>
      <c r="BN67" s="116">
        <f t="shared" si="81"/>
        <v>10</v>
      </c>
      <c r="BO67" s="11"/>
      <c r="BP67" s="1"/>
      <c r="BQ67" s="16">
        <v>15</v>
      </c>
      <c r="BR67" s="112" t="s">
        <v>264</v>
      </c>
      <c r="BS67" s="112" t="s">
        <v>21</v>
      </c>
      <c r="BT67" s="119" t="s">
        <v>176</v>
      </c>
      <c r="BU67" s="122">
        <v>24</v>
      </c>
      <c r="BV67" s="122" t="s">
        <v>23</v>
      </c>
      <c r="BW67" s="78">
        <v>27</v>
      </c>
      <c r="BX67" s="122">
        <v>30</v>
      </c>
      <c r="BY67" s="112">
        <f t="shared" si="82"/>
        <v>3</v>
      </c>
      <c r="BZ67" s="112">
        <f t="shared" si="101"/>
        <v>6</v>
      </c>
      <c r="CA67" s="112">
        <f t="shared" si="102"/>
        <v>75</v>
      </c>
      <c r="CB67" s="114">
        <f t="shared" si="124"/>
        <v>150</v>
      </c>
      <c r="CC67" s="115"/>
      <c r="CD67" s="116">
        <f t="shared" si="103"/>
        <v>10</v>
      </c>
      <c r="CE67" s="117"/>
      <c r="CF67" s="155">
        <f t="shared" si="104"/>
        <v>550</v>
      </c>
      <c r="CG67" s="117"/>
      <c r="CH67" s="116">
        <f t="shared" si="125"/>
        <v>20</v>
      </c>
      <c r="CI67" s="117"/>
      <c r="CJ67" s="123"/>
      <c r="CK67" s="131">
        <v>15</v>
      </c>
      <c r="CL67" s="128" t="s">
        <v>272</v>
      </c>
      <c r="CM67" s="112" t="s">
        <v>21</v>
      </c>
      <c r="CN67" s="119" t="s">
        <v>176</v>
      </c>
      <c r="CO67" s="78"/>
      <c r="CP67" s="78"/>
      <c r="CQ67" s="78"/>
      <c r="CR67" s="78"/>
      <c r="CS67" s="78"/>
      <c r="CT67" s="112"/>
      <c r="CU67" s="112"/>
      <c r="CV67" s="112"/>
      <c r="CW67" s="112">
        <f t="shared" si="83"/>
        <v>0</v>
      </c>
      <c r="CX67" s="112">
        <f t="shared" si="105"/>
        <v>0</v>
      </c>
      <c r="CY67" s="112">
        <f t="shared" si="106"/>
        <v>0</v>
      </c>
      <c r="CZ67" s="114">
        <f t="shared" si="107"/>
        <v>0</v>
      </c>
      <c r="DA67" s="129"/>
      <c r="DB67" s="116">
        <f t="shared" si="108"/>
        <v>0</v>
      </c>
      <c r="DC67" s="130"/>
      <c r="DD67" s="116">
        <f t="shared" si="109"/>
        <v>550</v>
      </c>
      <c r="DE67" s="130"/>
      <c r="DF67" s="116">
        <f t="shared" si="110"/>
        <v>20</v>
      </c>
      <c r="DG67" s="11"/>
      <c r="DH67" s="1"/>
      <c r="DI67" s="131">
        <v>15</v>
      </c>
      <c r="DJ67" s="112" t="s">
        <v>264</v>
      </c>
      <c r="DK67" s="112" t="s">
        <v>21</v>
      </c>
      <c r="DL67" s="119" t="s">
        <v>176</v>
      </c>
      <c r="DM67" s="122"/>
      <c r="DN67" s="122"/>
      <c r="DO67" s="122"/>
      <c r="DP67" s="122"/>
      <c r="DQ67" s="122"/>
      <c r="DR67" s="78"/>
      <c r="DS67" s="78"/>
      <c r="DT67" s="112"/>
      <c r="DU67" s="112">
        <f t="shared" si="84"/>
        <v>0</v>
      </c>
      <c r="DV67" s="112">
        <f t="shared" si="111"/>
        <v>0</v>
      </c>
      <c r="DW67" s="112">
        <f t="shared" si="112"/>
        <v>0</v>
      </c>
      <c r="DX67" s="114">
        <f t="shared" si="113"/>
        <v>0</v>
      </c>
      <c r="DY67" s="129"/>
      <c r="DZ67" s="116">
        <f t="shared" si="114"/>
        <v>0</v>
      </c>
      <c r="EA67" s="130"/>
      <c r="EB67" s="116">
        <f t="shared" si="115"/>
        <v>550</v>
      </c>
      <c r="EC67" s="130"/>
      <c r="ED67" s="116">
        <f t="shared" si="116"/>
        <v>20</v>
      </c>
      <c r="EE67" s="11"/>
      <c r="EF67" s="1"/>
      <c r="EG67" s="16">
        <v>15</v>
      </c>
      <c r="EH67" s="112" t="s">
        <v>264</v>
      </c>
      <c r="EI67" s="112" t="s">
        <v>21</v>
      </c>
      <c r="EJ67" s="119" t="s">
        <v>176</v>
      </c>
      <c r="EK67" s="112"/>
      <c r="EL67" s="112"/>
      <c r="EM67" s="112"/>
      <c r="EN67" s="125"/>
      <c r="EO67" s="125"/>
      <c r="EP67" s="125"/>
      <c r="EQ67" s="125"/>
      <c r="ER67" s="112"/>
      <c r="ES67" s="112"/>
      <c r="ET67" s="112"/>
      <c r="EU67" s="112"/>
      <c r="EV67" s="112"/>
      <c r="EW67" s="112"/>
      <c r="EX67" s="112"/>
      <c r="EY67" s="112"/>
      <c r="EZ67" s="112"/>
      <c r="FA67" s="112">
        <f t="shared" si="85"/>
        <v>0</v>
      </c>
      <c r="FB67" s="112">
        <f t="shared" si="117"/>
        <v>0</v>
      </c>
      <c r="FC67" s="112">
        <f t="shared" si="118"/>
        <v>0</v>
      </c>
      <c r="FD67" s="114">
        <f t="shared" si="119"/>
        <v>0</v>
      </c>
      <c r="FE67" s="115"/>
      <c r="FF67" s="116">
        <f t="shared" si="120"/>
        <v>0</v>
      </c>
      <c r="FG67" s="117"/>
      <c r="FH67" s="116">
        <f t="shared" si="86"/>
        <v>550</v>
      </c>
      <c r="FI67" s="117"/>
      <c r="FJ67" s="116">
        <f t="shared" si="87"/>
        <v>20</v>
      </c>
      <c r="FK67" s="117"/>
      <c r="FL67" s="123"/>
      <c r="FM67" s="126"/>
      <c r="FN67" s="127">
        <f>EN67/3</f>
        <v>0</v>
      </c>
      <c r="FO67" s="127">
        <f t="shared" si="122"/>
        <v>0</v>
      </c>
    </row>
    <row r="68" spans="1:174" ht="20.100000000000001" customHeight="1" x14ac:dyDescent="0.25">
      <c r="A68" s="16">
        <v>16</v>
      </c>
      <c r="B68" s="234" t="s">
        <v>372</v>
      </c>
      <c r="C68" s="237" t="s">
        <v>21</v>
      </c>
      <c r="D68" s="232" t="s">
        <v>373</v>
      </c>
      <c r="E68" s="112">
        <v>3</v>
      </c>
      <c r="F68" s="112">
        <v>6</v>
      </c>
      <c r="G68" s="112">
        <v>9</v>
      </c>
      <c r="H68" s="112">
        <v>12</v>
      </c>
      <c r="I68" s="112">
        <f t="shared" si="75"/>
        <v>4</v>
      </c>
      <c r="J68" s="112">
        <f t="shared" si="88"/>
        <v>8</v>
      </c>
      <c r="K68" s="112">
        <f t="shared" si="123"/>
        <v>100</v>
      </c>
      <c r="L68" s="114">
        <f t="shared" si="89"/>
        <v>200</v>
      </c>
      <c r="M68" s="115"/>
      <c r="N68" s="116">
        <f t="shared" si="90"/>
        <v>10</v>
      </c>
      <c r="O68" s="117"/>
      <c r="P68" s="116">
        <f t="shared" si="91"/>
        <v>200</v>
      </c>
      <c r="Q68" s="117"/>
      <c r="R68" s="116">
        <f t="shared" si="92"/>
        <v>10</v>
      </c>
      <c r="S68" s="11"/>
      <c r="T68" s="1"/>
      <c r="U68" s="16">
        <v>16</v>
      </c>
      <c r="V68" s="112" t="s">
        <v>265</v>
      </c>
      <c r="W68" s="112" t="s">
        <v>306</v>
      </c>
      <c r="X68" s="120" t="s">
        <v>177</v>
      </c>
      <c r="Y68" s="78">
        <v>15</v>
      </c>
      <c r="Z68" s="122">
        <v>18</v>
      </c>
      <c r="AA68" s="78">
        <v>21</v>
      </c>
      <c r="AB68" s="122">
        <v>24</v>
      </c>
      <c r="AC68" s="78">
        <v>27</v>
      </c>
      <c r="AD68" s="78">
        <v>30</v>
      </c>
      <c r="AE68" s="122">
        <v>33</v>
      </c>
      <c r="AF68" s="78">
        <v>36</v>
      </c>
      <c r="AG68" s="112">
        <f t="shared" si="76"/>
        <v>8</v>
      </c>
      <c r="AH68" s="112">
        <f t="shared" si="93"/>
        <v>16</v>
      </c>
      <c r="AI68" s="112">
        <f t="shared" si="94"/>
        <v>100</v>
      </c>
      <c r="AJ68" s="114">
        <f t="shared" si="95"/>
        <v>400</v>
      </c>
      <c r="AK68" s="115"/>
      <c r="AL68" s="116">
        <f t="shared" si="96"/>
        <v>10</v>
      </c>
      <c r="AM68" s="117"/>
      <c r="AN68" s="116">
        <f t="shared" si="77"/>
        <v>600</v>
      </c>
      <c r="AO68" s="11"/>
      <c r="AP68" s="124">
        <f t="shared" si="78"/>
        <v>20</v>
      </c>
      <c r="AQ68" s="11"/>
      <c r="AR68" s="1"/>
      <c r="AS68" s="16">
        <v>16</v>
      </c>
      <c r="AT68" s="112" t="s">
        <v>265</v>
      </c>
      <c r="AU68" s="112" t="s">
        <v>306</v>
      </c>
      <c r="AV68" s="120" t="s">
        <v>177</v>
      </c>
      <c r="AW68" s="122">
        <v>39</v>
      </c>
      <c r="AX68" s="122">
        <v>42</v>
      </c>
      <c r="AY68" s="122">
        <v>45</v>
      </c>
      <c r="AZ68" s="122">
        <v>48</v>
      </c>
      <c r="BA68" s="122">
        <v>51</v>
      </c>
      <c r="BB68" s="122">
        <v>54</v>
      </c>
      <c r="BC68" s="125">
        <v>57</v>
      </c>
      <c r="BD68" s="125">
        <v>60</v>
      </c>
      <c r="BE68" s="112">
        <f t="shared" si="79"/>
        <v>8</v>
      </c>
      <c r="BF68" s="112">
        <f t="shared" si="97"/>
        <v>16</v>
      </c>
      <c r="BG68" s="112">
        <f t="shared" si="98"/>
        <v>133.33333333333331</v>
      </c>
      <c r="BH68" s="114">
        <f t="shared" si="99"/>
        <v>400</v>
      </c>
      <c r="BI68" s="115"/>
      <c r="BJ68" s="116">
        <f t="shared" si="100"/>
        <v>10</v>
      </c>
      <c r="BK68" s="117"/>
      <c r="BL68" s="116">
        <f t="shared" si="80"/>
        <v>1000</v>
      </c>
      <c r="BM68" s="117"/>
      <c r="BN68" s="116">
        <f t="shared" si="81"/>
        <v>30</v>
      </c>
      <c r="BO68" s="11"/>
      <c r="BP68" s="1"/>
      <c r="BQ68" s="16">
        <v>16</v>
      </c>
      <c r="BR68" s="112" t="s">
        <v>265</v>
      </c>
      <c r="BS68" s="112" t="s">
        <v>306</v>
      </c>
      <c r="BT68" s="120" t="s">
        <v>177</v>
      </c>
      <c r="BU68" s="78">
        <v>63</v>
      </c>
      <c r="BV68" s="122">
        <v>66</v>
      </c>
      <c r="BW68" s="122">
        <v>69</v>
      </c>
      <c r="BX68" s="122">
        <v>72</v>
      </c>
      <c r="BY68" s="112">
        <f t="shared" si="82"/>
        <v>4</v>
      </c>
      <c r="BZ68" s="112">
        <f t="shared" si="101"/>
        <v>8</v>
      </c>
      <c r="CA68" s="112">
        <f t="shared" si="102"/>
        <v>100</v>
      </c>
      <c r="CB68" s="114">
        <f t="shared" si="124"/>
        <v>200</v>
      </c>
      <c r="CC68" s="115"/>
      <c r="CD68" s="116">
        <f t="shared" si="103"/>
        <v>10</v>
      </c>
      <c r="CE68" s="117"/>
      <c r="CF68" s="155">
        <f t="shared" si="104"/>
        <v>1200</v>
      </c>
      <c r="CG68" s="117"/>
      <c r="CH68" s="116">
        <f t="shared" si="125"/>
        <v>40</v>
      </c>
      <c r="CI68" s="117"/>
      <c r="CJ68" s="123"/>
      <c r="CK68" s="131">
        <v>16</v>
      </c>
      <c r="CL68" s="128" t="s">
        <v>133</v>
      </c>
      <c r="CM68" s="112" t="s">
        <v>261</v>
      </c>
      <c r="CN68" s="120" t="s">
        <v>177</v>
      </c>
      <c r="CO68" s="78"/>
      <c r="CP68" s="78"/>
      <c r="CQ68" s="78"/>
      <c r="CR68" s="78"/>
      <c r="CS68" s="78"/>
      <c r="CT68" s="112"/>
      <c r="CU68" s="112"/>
      <c r="CV68" s="112"/>
      <c r="CW68" s="112">
        <f t="shared" si="83"/>
        <v>0</v>
      </c>
      <c r="CX68" s="112">
        <f t="shared" si="105"/>
        <v>0</v>
      </c>
      <c r="CY68" s="112">
        <f t="shared" si="106"/>
        <v>0</v>
      </c>
      <c r="CZ68" s="114">
        <f t="shared" si="107"/>
        <v>0</v>
      </c>
      <c r="DA68" s="129"/>
      <c r="DB68" s="116">
        <f t="shared" si="108"/>
        <v>0</v>
      </c>
      <c r="DC68" s="130"/>
      <c r="DD68" s="116">
        <f t="shared" si="109"/>
        <v>1200</v>
      </c>
      <c r="DE68" s="130"/>
      <c r="DF68" s="116">
        <f t="shared" si="110"/>
        <v>40</v>
      </c>
      <c r="DG68" s="11"/>
      <c r="DH68" s="1"/>
      <c r="DI68" s="131">
        <v>16</v>
      </c>
      <c r="DJ68" s="112" t="s">
        <v>265</v>
      </c>
      <c r="DK68" s="112" t="s">
        <v>261</v>
      </c>
      <c r="DL68" s="120" t="s">
        <v>177</v>
      </c>
      <c r="DM68" s="122"/>
      <c r="DN68" s="122"/>
      <c r="DO68" s="122"/>
      <c r="DP68" s="122"/>
      <c r="DQ68" s="122"/>
      <c r="DR68" s="122"/>
      <c r="DS68" s="122"/>
      <c r="DT68" s="112"/>
      <c r="DU68" s="112">
        <f t="shared" si="84"/>
        <v>0</v>
      </c>
      <c r="DV68" s="112">
        <f t="shared" si="111"/>
        <v>0</v>
      </c>
      <c r="DW68" s="112">
        <f t="shared" si="112"/>
        <v>0</v>
      </c>
      <c r="DX68" s="114">
        <f t="shared" si="113"/>
        <v>0</v>
      </c>
      <c r="DY68" s="129"/>
      <c r="DZ68" s="116">
        <f t="shared" si="114"/>
        <v>0</v>
      </c>
      <c r="EA68" s="130"/>
      <c r="EB68" s="116">
        <f t="shared" si="115"/>
        <v>1200</v>
      </c>
      <c r="EC68" s="130"/>
      <c r="ED68" s="116">
        <f t="shared" si="116"/>
        <v>40</v>
      </c>
      <c r="EE68" s="11"/>
      <c r="EF68" s="1"/>
      <c r="EG68" s="16">
        <v>16</v>
      </c>
      <c r="EH68" s="112" t="s">
        <v>265</v>
      </c>
      <c r="EI68" s="112" t="s">
        <v>261</v>
      </c>
      <c r="EJ68" s="120" t="s">
        <v>177</v>
      </c>
      <c r="EK68" s="112"/>
      <c r="EL68" s="112"/>
      <c r="EM68" s="112"/>
      <c r="EN68" s="125"/>
      <c r="EO68" s="125"/>
      <c r="EP68" s="125"/>
      <c r="EQ68" s="125"/>
      <c r="ER68" s="112"/>
      <c r="ES68" s="112"/>
      <c r="ET68" s="112"/>
      <c r="EU68" s="112"/>
      <c r="EV68" s="112"/>
      <c r="EW68" s="112"/>
      <c r="EX68" s="112"/>
      <c r="EY68" s="112"/>
      <c r="EZ68" s="112"/>
      <c r="FA68" s="112">
        <f t="shared" si="85"/>
        <v>0</v>
      </c>
      <c r="FB68" s="112">
        <f t="shared" si="117"/>
        <v>0</v>
      </c>
      <c r="FC68" s="112">
        <f t="shared" si="118"/>
        <v>0</v>
      </c>
      <c r="FD68" s="114">
        <f t="shared" si="119"/>
        <v>0</v>
      </c>
      <c r="FE68" s="115"/>
      <c r="FF68" s="116">
        <f t="shared" si="120"/>
        <v>0</v>
      </c>
      <c r="FG68" s="117"/>
      <c r="FH68" s="116">
        <f t="shared" si="86"/>
        <v>1200</v>
      </c>
      <c r="FI68" s="117"/>
      <c r="FJ68" s="116">
        <f t="shared" si="87"/>
        <v>40</v>
      </c>
      <c r="FK68" s="117"/>
      <c r="FL68" s="123"/>
      <c r="FM68" s="126"/>
      <c r="FN68" s="127">
        <f>EN68/3</f>
        <v>0</v>
      </c>
      <c r="FO68" s="127">
        <f t="shared" si="122"/>
        <v>0</v>
      </c>
    </row>
    <row r="69" spans="1:174" ht="20.100000000000001" customHeight="1" x14ac:dyDescent="0.25">
      <c r="A69" s="16">
        <v>17</v>
      </c>
      <c r="B69" s="234" t="s">
        <v>374</v>
      </c>
      <c r="C69" s="237" t="s">
        <v>21</v>
      </c>
      <c r="D69" s="232" t="s">
        <v>375</v>
      </c>
      <c r="E69" s="112">
        <v>3</v>
      </c>
      <c r="F69" s="112">
        <v>6</v>
      </c>
      <c r="G69" s="112">
        <v>9</v>
      </c>
      <c r="H69" s="112">
        <v>12</v>
      </c>
      <c r="I69" s="112">
        <f t="shared" si="75"/>
        <v>4</v>
      </c>
      <c r="J69" s="112">
        <f t="shared" si="88"/>
        <v>8</v>
      </c>
      <c r="K69" s="112">
        <f t="shared" si="123"/>
        <v>100</v>
      </c>
      <c r="L69" s="114">
        <f t="shared" si="89"/>
        <v>200</v>
      </c>
      <c r="M69" s="115"/>
      <c r="N69" s="116">
        <f t="shared" si="90"/>
        <v>10</v>
      </c>
      <c r="O69" s="117"/>
      <c r="P69" s="116">
        <f t="shared" si="91"/>
        <v>200</v>
      </c>
      <c r="Q69" s="117"/>
      <c r="R69" s="116">
        <f t="shared" si="92"/>
        <v>10</v>
      </c>
      <c r="S69" s="11"/>
      <c r="T69" s="1"/>
      <c r="U69" s="16">
        <v>17</v>
      </c>
      <c r="V69" s="112" t="s">
        <v>266</v>
      </c>
      <c r="W69" s="112" t="s">
        <v>21</v>
      </c>
      <c r="X69" s="119" t="s">
        <v>178</v>
      </c>
      <c r="Y69" s="78">
        <v>6</v>
      </c>
      <c r="Z69" s="122" t="s">
        <v>23</v>
      </c>
      <c r="AA69" s="78" t="s">
        <v>23</v>
      </c>
      <c r="AB69" s="122">
        <v>9</v>
      </c>
      <c r="AC69" s="78" t="s">
        <v>23</v>
      </c>
      <c r="AD69" s="78">
        <v>12</v>
      </c>
      <c r="AE69" s="122" t="s">
        <v>23</v>
      </c>
      <c r="AF69" s="78">
        <v>15</v>
      </c>
      <c r="AG69" s="112">
        <f t="shared" si="76"/>
        <v>4</v>
      </c>
      <c r="AH69" s="112">
        <f t="shared" si="93"/>
        <v>8</v>
      </c>
      <c r="AI69" s="112">
        <f t="shared" si="94"/>
        <v>50</v>
      </c>
      <c r="AJ69" s="114">
        <f t="shared" si="95"/>
        <v>200</v>
      </c>
      <c r="AK69" s="115"/>
      <c r="AL69" s="116">
        <f t="shared" si="96"/>
        <v>5</v>
      </c>
      <c r="AM69" s="117"/>
      <c r="AN69" s="116">
        <f t="shared" si="77"/>
        <v>400</v>
      </c>
      <c r="AO69" s="11"/>
      <c r="AP69" s="124">
        <f t="shared" si="78"/>
        <v>15</v>
      </c>
      <c r="AQ69" s="11"/>
      <c r="AR69" s="1"/>
      <c r="AS69" s="16">
        <v>17</v>
      </c>
      <c r="AT69" s="112" t="s">
        <v>266</v>
      </c>
      <c r="AU69" s="112" t="s">
        <v>21</v>
      </c>
      <c r="AV69" s="119" t="s">
        <v>178</v>
      </c>
      <c r="AW69" s="122">
        <v>18</v>
      </c>
      <c r="AX69" s="122">
        <v>21</v>
      </c>
      <c r="AY69" s="122" t="s">
        <v>23</v>
      </c>
      <c r="AZ69" s="122">
        <v>24</v>
      </c>
      <c r="BA69" s="122">
        <v>27</v>
      </c>
      <c r="BB69" s="122">
        <v>30</v>
      </c>
      <c r="BC69" s="125" t="s">
        <v>23</v>
      </c>
      <c r="BD69" s="125">
        <v>33</v>
      </c>
      <c r="BE69" s="112">
        <f t="shared" si="79"/>
        <v>6</v>
      </c>
      <c r="BF69" s="112">
        <f t="shared" si="97"/>
        <v>12</v>
      </c>
      <c r="BG69" s="112">
        <f t="shared" si="98"/>
        <v>100</v>
      </c>
      <c r="BH69" s="114">
        <f t="shared" si="99"/>
        <v>300</v>
      </c>
      <c r="BI69" s="115"/>
      <c r="BJ69" s="116">
        <f t="shared" si="100"/>
        <v>10</v>
      </c>
      <c r="BK69" s="117"/>
      <c r="BL69" s="116">
        <f t="shared" si="80"/>
        <v>700</v>
      </c>
      <c r="BM69" s="117"/>
      <c r="BN69" s="116">
        <f t="shared" si="81"/>
        <v>25</v>
      </c>
      <c r="BO69" s="11"/>
      <c r="BP69" s="1"/>
      <c r="BQ69" s="16">
        <v>17</v>
      </c>
      <c r="BR69" s="112" t="s">
        <v>266</v>
      </c>
      <c r="BS69" s="112" t="s">
        <v>21</v>
      </c>
      <c r="BT69" s="119" t="s">
        <v>178</v>
      </c>
      <c r="BU69" s="122" t="s">
        <v>23</v>
      </c>
      <c r="BV69" s="122">
        <v>36</v>
      </c>
      <c r="BW69" s="122">
        <v>39</v>
      </c>
      <c r="BX69" s="122">
        <v>42</v>
      </c>
      <c r="BY69" s="112">
        <f t="shared" si="82"/>
        <v>3</v>
      </c>
      <c r="BZ69" s="112">
        <f t="shared" si="101"/>
        <v>6</v>
      </c>
      <c r="CA69" s="112">
        <f t="shared" si="102"/>
        <v>75</v>
      </c>
      <c r="CB69" s="114">
        <f t="shared" si="124"/>
        <v>150</v>
      </c>
      <c r="CC69" s="115"/>
      <c r="CD69" s="116">
        <f t="shared" si="103"/>
        <v>10</v>
      </c>
      <c r="CE69" s="117"/>
      <c r="CF69" s="155">
        <f t="shared" si="104"/>
        <v>850</v>
      </c>
      <c r="CG69" s="117"/>
      <c r="CH69" s="116">
        <f t="shared" si="125"/>
        <v>35</v>
      </c>
      <c r="CI69" s="117"/>
      <c r="CJ69" s="123"/>
      <c r="CK69" s="131">
        <v>17</v>
      </c>
      <c r="CL69" s="128" t="s">
        <v>135</v>
      </c>
      <c r="CM69" s="112" t="s">
        <v>21</v>
      </c>
      <c r="CN69" s="119" t="s">
        <v>178</v>
      </c>
      <c r="CO69" s="78"/>
      <c r="CP69" s="78"/>
      <c r="CQ69" s="78"/>
      <c r="CR69" s="78"/>
      <c r="CS69" s="78"/>
      <c r="CT69" s="112"/>
      <c r="CU69" s="112"/>
      <c r="CV69" s="112"/>
      <c r="CW69" s="112">
        <f t="shared" si="83"/>
        <v>0</v>
      </c>
      <c r="CX69" s="112">
        <f t="shared" si="105"/>
        <v>0</v>
      </c>
      <c r="CY69" s="112">
        <f t="shared" si="106"/>
        <v>0</v>
      </c>
      <c r="CZ69" s="114">
        <f t="shared" si="107"/>
        <v>0</v>
      </c>
      <c r="DA69" s="129"/>
      <c r="DB69" s="116">
        <f t="shared" si="108"/>
        <v>0</v>
      </c>
      <c r="DC69" s="130"/>
      <c r="DD69" s="116">
        <f t="shared" si="109"/>
        <v>850</v>
      </c>
      <c r="DE69" s="130"/>
      <c r="DF69" s="116">
        <f t="shared" si="110"/>
        <v>35</v>
      </c>
      <c r="DG69" s="11"/>
      <c r="DH69" s="1"/>
      <c r="DI69" s="131">
        <v>17</v>
      </c>
      <c r="DJ69" s="112" t="s">
        <v>266</v>
      </c>
      <c r="DK69" s="112" t="s">
        <v>21</v>
      </c>
      <c r="DL69" s="119" t="s">
        <v>178</v>
      </c>
      <c r="DM69" s="122"/>
      <c r="DN69" s="122"/>
      <c r="DO69" s="122"/>
      <c r="DP69" s="122"/>
      <c r="DQ69" s="122"/>
      <c r="DR69" s="122"/>
      <c r="DS69" s="122"/>
      <c r="DT69" s="112"/>
      <c r="DU69" s="112">
        <f t="shared" si="84"/>
        <v>0</v>
      </c>
      <c r="DV69" s="112">
        <f t="shared" si="111"/>
        <v>0</v>
      </c>
      <c r="DW69" s="112">
        <f t="shared" si="112"/>
        <v>0</v>
      </c>
      <c r="DX69" s="114">
        <f t="shared" si="113"/>
        <v>0</v>
      </c>
      <c r="DY69" s="129"/>
      <c r="DZ69" s="116">
        <f t="shared" si="114"/>
        <v>0</v>
      </c>
      <c r="EA69" s="130"/>
      <c r="EB69" s="116">
        <f t="shared" si="115"/>
        <v>850</v>
      </c>
      <c r="EC69" s="130"/>
      <c r="ED69" s="116">
        <f t="shared" si="116"/>
        <v>35</v>
      </c>
      <c r="EE69" s="11"/>
      <c r="EF69" s="1"/>
      <c r="EG69" s="16">
        <v>17</v>
      </c>
      <c r="EH69" s="112" t="s">
        <v>266</v>
      </c>
      <c r="EI69" s="112" t="s">
        <v>21</v>
      </c>
      <c r="EJ69" s="119" t="s">
        <v>178</v>
      </c>
      <c r="EK69" s="112"/>
      <c r="EL69" s="112"/>
      <c r="EM69" s="112"/>
      <c r="EN69" s="125"/>
      <c r="EO69" s="125"/>
      <c r="EP69" s="125"/>
      <c r="EQ69" s="125"/>
      <c r="ER69" s="112"/>
      <c r="ES69" s="112"/>
      <c r="ET69" s="112"/>
      <c r="EU69" s="112"/>
      <c r="EV69" s="112"/>
      <c r="EW69" s="112"/>
      <c r="EX69" s="112"/>
      <c r="EY69" s="112"/>
      <c r="EZ69" s="112"/>
      <c r="FA69" s="112">
        <f t="shared" si="85"/>
        <v>0</v>
      </c>
      <c r="FB69" s="112">
        <f t="shared" si="117"/>
        <v>0</v>
      </c>
      <c r="FC69" s="112">
        <f t="shared" si="118"/>
        <v>0</v>
      </c>
      <c r="FD69" s="114">
        <f t="shared" si="119"/>
        <v>0</v>
      </c>
      <c r="FE69" s="115"/>
      <c r="FF69" s="116">
        <f t="shared" si="120"/>
        <v>0</v>
      </c>
      <c r="FG69" s="117"/>
      <c r="FH69" s="116">
        <f t="shared" si="86"/>
        <v>850</v>
      </c>
      <c r="FI69" s="117"/>
      <c r="FJ69" s="116">
        <f t="shared" si="87"/>
        <v>35</v>
      </c>
      <c r="FK69" s="117"/>
      <c r="FL69" s="123"/>
      <c r="FM69" s="126"/>
      <c r="FN69" s="127">
        <f>EN69/3</f>
        <v>0</v>
      </c>
      <c r="FO69" s="127">
        <f t="shared" si="122"/>
        <v>0</v>
      </c>
    </row>
    <row r="70" spans="1:174" ht="20.100000000000001" customHeight="1" x14ac:dyDescent="0.25">
      <c r="A70" s="16">
        <v>18</v>
      </c>
      <c r="B70" s="234" t="s">
        <v>376</v>
      </c>
      <c r="C70" s="237" t="s">
        <v>21</v>
      </c>
      <c r="D70" s="232" t="s">
        <v>377</v>
      </c>
      <c r="E70" s="112">
        <v>3</v>
      </c>
      <c r="F70" s="112" t="s">
        <v>23</v>
      </c>
      <c r="G70" s="112" t="s">
        <v>23</v>
      </c>
      <c r="H70" s="112">
        <v>6</v>
      </c>
      <c r="I70" s="112">
        <f t="shared" si="75"/>
        <v>2</v>
      </c>
      <c r="J70" s="112">
        <f>I70*2</f>
        <v>4</v>
      </c>
      <c r="K70" s="112">
        <f t="shared" si="123"/>
        <v>50</v>
      </c>
      <c r="L70" s="114">
        <f t="shared" si="89"/>
        <v>100</v>
      </c>
      <c r="M70" s="115"/>
      <c r="N70" s="116">
        <f>IF(K70&lt;=40,0,IF(K70&lt;=60,5,IF(K70&gt;=61,10)))</f>
        <v>5</v>
      </c>
      <c r="O70" s="117"/>
      <c r="P70" s="116">
        <f>L70</f>
        <v>100</v>
      </c>
      <c r="Q70" s="117"/>
      <c r="R70" s="116">
        <f>N70</f>
        <v>5</v>
      </c>
      <c r="S70" s="11"/>
      <c r="T70" s="1"/>
      <c r="U70" s="16">
        <v>18</v>
      </c>
      <c r="V70" s="112" t="s">
        <v>267</v>
      </c>
      <c r="W70" s="112" t="s">
        <v>262</v>
      </c>
      <c r="X70" s="120" t="s">
        <v>179</v>
      </c>
      <c r="Y70" s="78">
        <v>15</v>
      </c>
      <c r="Z70" s="122">
        <v>18</v>
      </c>
      <c r="AA70" s="78">
        <v>21</v>
      </c>
      <c r="AB70" s="122">
        <v>24</v>
      </c>
      <c r="AC70" s="78">
        <v>27</v>
      </c>
      <c r="AD70" s="78">
        <v>30</v>
      </c>
      <c r="AE70" s="122">
        <v>33</v>
      </c>
      <c r="AF70" s="78">
        <v>36</v>
      </c>
      <c r="AG70" s="112">
        <f t="shared" si="76"/>
        <v>8</v>
      </c>
      <c r="AH70" s="112">
        <f>AG70*2</f>
        <v>16</v>
      </c>
      <c r="AI70" s="112">
        <f t="shared" si="94"/>
        <v>100</v>
      </c>
      <c r="AJ70" s="114">
        <f t="shared" si="95"/>
        <v>400</v>
      </c>
      <c r="AK70" s="115"/>
      <c r="AL70" s="116">
        <f>IF(AI70&lt;=40,0,IF(AI70&lt;=60,5,IF(AI70&gt;=61,10)))</f>
        <v>10</v>
      </c>
      <c r="AM70" s="117"/>
      <c r="AN70" s="116">
        <f t="shared" si="77"/>
        <v>500</v>
      </c>
      <c r="AO70" s="11"/>
      <c r="AP70" s="124">
        <f t="shared" si="78"/>
        <v>15</v>
      </c>
      <c r="AQ70" s="11"/>
      <c r="AR70" s="1"/>
      <c r="AS70" s="16">
        <v>18</v>
      </c>
      <c r="AT70" s="112" t="s">
        <v>267</v>
      </c>
      <c r="AU70" s="112" t="s">
        <v>262</v>
      </c>
      <c r="AV70" s="120" t="s">
        <v>179</v>
      </c>
      <c r="AW70" s="122">
        <v>39</v>
      </c>
      <c r="AX70" s="122">
        <v>42</v>
      </c>
      <c r="AY70" s="122">
        <v>45</v>
      </c>
      <c r="AZ70" s="122">
        <v>48</v>
      </c>
      <c r="BA70" s="122">
        <v>51</v>
      </c>
      <c r="BB70" s="122">
        <v>54</v>
      </c>
      <c r="BC70" s="125">
        <v>57</v>
      </c>
      <c r="BD70" s="125">
        <v>60</v>
      </c>
      <c r="BE70" s="112">
        <f t="shared" si="79"/>
        <v>8</v>
      </c>
      <c r="BF70" s="112">
        <f>BE70*2</f>
        <v>16</v>
      </c>
      <c r="BG70" s="112">
        <f>BE70/6*100</f>
        <v>133.33333333333331</v>
      </c>
      <c r="BH70" s="114">
        <f t="shared" si="99"/>
        <v>400</v>
      </c>
      <c r="BI70" s="115"/>
      <c r="BJ70" s="116">
        <f>IF(BG70&lt;=40,0,IF(BG70&lt;=60,5,IF(BG70&gt;=61,10)))</f>
        <v>10</v>
      </c>
      <c r="BK70" s="117"/>
      <c r="BL70" s="116">
        <f t="shared" si="80"/>
        <v>900</v>
      </c>
      <c r="BM70" s="117"/>
      <c r="BN70" s="116">
        <f t="shared" si="81"/>
        <v>25</v>
      </c>
      <c r="BO70" s="11"/>
      <c r="BP70" s="1"/>
      <c r="BQ70" s="16">
        <v>18</v>
      </c>
      <c r="BR70" s="112" t="s">
        <v>267</v>
      </c>
      <c r="BS70" s="112" t="s">
        <v>262</v>
      </c>
      <c r="BT70" s="120" t="s">
        <v>179</v>
      </c>
      <c r="BU70" s="122">
        <v>63</v>
      </c>
      <c r="BV70" s="122">
        <v>66</v>
      </c>
      <c r="BW70" s="122" t="s">
        <v>23</v>
      </c>
      <c r="BX70" s="122" t="s">
        <v>23</v>
      </c>
      <c r="BY70" s="112">
        <f t="shared" si="82"/>
        <v>2</v>
      </c>
      <c r="BZ70" s="112">
        <f>BY70*2</f>
        <v>4</v>
      </c>
      <c r="CA70" s="112">
        <f t="shared" si="102"/>
        <v>50</v>
      </c>
      <c r="CB70" s="114">
        <f t="shared" si="124"/>
        <v>100</v>
      </c>
      <c r="CC70" s="115"/>
      <c r="CD70" s="116">
        <f>IF(CA70&lt;=40,0,IF(CA70&lt;=60,5,IF(CA70&gt;=61,10)))</f>
        <v>5</v>
      </c>
      <c r="CE70" s="117"/>
      <c r="CF70" s="155">
        <f t="shared" si="104"/>
        <v>1000</v>
      </c>
      <c r="CG70" s="117"/>
      <c r="CH70" s="116">
        <f t="shared" si="125"/>
        <v>30</v>
      </c>
      <c r="CI70" s="117"/>
      <c r="CJ70" s="123"/>
      <c r="CK70" s="131">
        <v>18</v>
      </c>
      <c r="CL70" s="128" t="s">
        <v>137</v>
      </c>
      <c r="CM70" s="112" t="s">
        <v>262</v>
      </c>
      <c r="CN70" s="120" t="s">
        <v>179</v>
      </c>
      <c r="CO70" s="78"/>
      <c r="CP70" s="78"/>
      <c r="CQ70" s="78"/>
      <c r="CR70" s="78"/>
      <c r="CS70" s="78"/>
      <c r="CT70" s="112"/>
      <c r="CU70" s="112"/>
      <c r="CV70" s="112"/>
      <c r="CW70" s="112">
        <f t="shared" si="83"/>
        <v>0</v>
      </c>
      <c r="CX70" s="112">
        <f t="shared" si="105"/>
        <v>0</v>
      </c>
      <c r="CY70" s="112">
        <f t="shared" si="106"/>
        <v>0</v>
      </c>
      <c r="CZ70" s="114">
        <f t="shared" si="107"/>
        <v>0</v>
      </c>
      <c r="DA70" s="129"/>
      <c r="DB70" s="116">
        <f t="shared" si="108"/>
        <v>0</v>
      </c>
      <c r="DC70" s="130"/>
      <c r="DD70" s="116">
        <f t="shared" si="109"/>
        <v>1000</v>
      </c>
      <c r="DE70" s="130"/>
      <c r="DF70" s="116">
        <f t="shared" si="110"/>
        <v>30</v>
      </c>
      <c r="DG70" s="11"/>
      <c r="DH70" s="1"/>
      <c r="DI70" s="131">
        <v>18</v>
      </c>
      <c r="DJ70" s="112" t="s">
        <v>267</v>
      </c>
      <c r="DK70" s="112" t="s">
        <v>262</v>
      </c>
      <c r="DL70" s="120" t="s">
        <v>179</v>
      </c>
      <c r="DM70" s="122"/>
      <c r="DN70" s="122"/>
      <c r="DO70" s="122"/>
      <c r="DP70" s="122"/>
      <c r="DQ70" s="122"/>
      <c r="DR70" s="122"/>
      <c r="DS70" s="122"/>
      <c r="DT70" s="112"/>
      <c r="DU70" s="112">
        <f t="shared" si="84"/>
        <v>0</v>
      </c>
      <c r="DV70" s="112">
        <f t="shared" si="111"/>
        <v>0</v>
      </c>
      <c r="DW70" s="112">
        <f t="shared" si="112"/>
        <v>0</v>
      </c>
      <c r="DX70" s="114">
        <f t="shared" si="113"/>
        <v>0</v>
      </c>
      <c r="DY70" s="129"/>
      <c r="DZ70" s="116">
        <f t="shared" si="114"/>
        <v>0</v>
      </c>
      <c r="EA70" s="130"/>
      <c r="EB70" s="116">
        <f t="shared" si="115"/>
        <v>1000</v>
      </c>
      <c r="EC70" s="130"/>
      <c r="ED70" s="116">
        <f t="shared" si="116"/>
        <v>30</v>
      </c>
      <c r="EE70" s="11"/>
      <c r="EF70" s="1"/>
      <c r="EG70" s="16">
        <v>18</v>
      </c>
      <c r="EH70" s="112" t="s">
        <v>267</v>
      </c>
      <c r="EI70" s="112" t="s">
        <v>262</v>
      </c>
      <c r="EJ70" s="120" t="s">
        <v>179</v>
      </c>
      <c r="EK70" s="112"/>
      <c r="EL70" s="112"/>
      <c r="EM70" s="112"/>
      <c r="EN70" s="125"/>
      <c r="EO70" s="125"/>
      <c r="EP70" s="125"/>
      <c r="EQ70" s="125"/>
      <c r="ER70" s="112"/>
      <c r="ES70" s="112"/>
      <c r="ET70" s="112"/>
      <c r="EU70" s="112"/>
      <c r="EV70" s="112"/>
      <c r="EW70" s="112"/>
      <c r="EX70" s="112"/>
      <c r="EY70" s="112"/>
      <c r="EZ70" s="112"/>
      <c r="FA70" s="112">
        <f t="shared" si="85"/>
        <v>0</v>
      </c>
      <c r="FB70" s="112">
        <f>FA70*2</f>
        <v>0</v>
      </c>
      <c r="FC70" s="112">
        <f t="shared" si="118"/>
        <v>0</v>
      </c>
      <c r="FD70" s="114">
        <f t="shared" si="119"/>
        <v>0</v>
      </c>
      <c r="FE70" s="115"/>
      <c r="FF70" s="116">
        <f>IF(FC70&lt;=40,0,IF(FC70&lt;=60,5,IF(FC70&gt;=61,10)))</f>
        <v>0</v>
      </c>
      <c r="FG70" s="117"/>
      <c r="FH70" s="116">
        <f t="shared" si="86"/>
        <v>1000</v>
      </c>
      <c r="FI70" s="117"/>
      <c r="FJ70" s="116">
        <f t="shared" si="87"/>
        <v>30</v>
      </c>
      <c r="FK70" s="117"/>
      <c r="FL70" s="123"/>
      <c r="FM70" s="126"/>
      <c r="FN70" s="127">
        <f>EM70/3</f>
        <v>0</v>
      </c>
      <c r="FO70" s="127">
        <f t="shared" si="122"/>
        <v>0</v>
      </c>
    </row>
    <row r="71" spans="1:174" ht="20.100000000000001" customHeight="1" x14ac:dyDescent="0.25">
      <c r="A71" s="16">
        <v>19</v>
      </c>
      <c r="B71" s="234" t="s">
        <v>378</v>
      </c>
      <c r="C71" s="237" t="s">
        <v>21</v>
      </c>
      <c r="D71" s="232" t="s">
        <v>379</v>
      </c>
      <c r="E71" s="112">
        <v>3</v>
      </c>
      <c r="F71" s="112">
        <v>6</v>
      </c>
      <c r="G71" s="112">
        <v>9</v>
      </c>
      <c r="H71" s="112">
        <v>12</v>
      </c>
      <c r="I71" s="112">
        <f t="shared" si="75"/>
        <v>4</v>
      </c>
      <c r="J71" s="112">
        <f>I71*2</f>
        <v>8</v>
      </c>
      <c r="K71" s="112">
        <f t="shared" si="123"/>
        <v>100</v>
      </c>
      <c r="L71" s="114">
        <f t="shared" si="89"/>
        <v>200</v>
      </c>
      <c r="M71" s="115"/>
      <c r="N71" s="116">
        <f>IF(K71&lt;=40,0,IF(K71&lt;=60,5,IF(K71&gt;=61,10)))</f>
        <v>10</v>
      </c>
      <c r="O71" s="117"/>
      <c r="P71" s="116">
        <f>L71</f>
        <v>200</v>
      </c>
      <c r="Q71" s="117"/>
      <c r="R71" s="116">
        <f>N71</f>
        <v>10</v>
      </c>
      <c r="S71" s="11"/>
      <c r="T71" s="1"/>
      <c r="U71" s="16">
        <v>19</v>
      </c>
      <c r="V71" s="112" t="s">
        <v>268</v>
      </c>
      <c r="W71" s="112" t="s">
        <v>261</v>
      </c>
      <c r="X71" s="119" t="s">
        <v>180</v>
      </c>
      <c r="Y71" s="78" t="s">
        <v>23</v>
      </c>
      <c r="Z71" s="122">
        <v>9</v>
      </c>
      <c r="AA71" s="78">
        <v>12</v>
      </c>
      <c r="AB71" s="122">
        <v>15</v>
      </c>
      <c r="AC71" s="78">
        <v>18</v>
      </c>
      <c r="AD71" s="78">
        <v>21</v>
      </c>
      <c r="AE71" s="122">
        <v>24</v>
      </c>
      <c r="AF71" s="78">
        <v>27</v>
      </c>
      <c r="AG71" s="112">
        <f t="shared" si="76"/>
        <v>7</v>
      </c>
      <c r="AH71" s="112">
        <f>AG71*2</f>
        <v>14</v>
      </c>
      <c r="AI71" s="112">
        <f t="shared" si="94"/>
        <v>87.5</v>
      </c>
      <c r="AJ71" s="114">
        <f t="shared" si="95"/>
        <v>350</v>
      </c>
      <c r="AK71" s="115"/>
      <c r="AL71" s="116">
        <f>IF(AI71&lt;=40,0,IF(AI71&lt;=60,5,IF(AI71&gt;=61,10)))</f>
        <v>10</v>
      </c>
      <c r="AM71" s="117"/>
      <c r="AN71" s="116">
        <f t="shared" si="77"/>
        <v>550</v>
      </c>
      <c r="AO71" s="11"/>
      <c r="AP71" s="124">
        <f t="shared" si="78"/>
        <v>20</v>
      </c>
      <c r="AQ71" s="11"/>
      <c r="AR71" s="1"/>
      <c r="AS71" s="16">
        <v>19</v>
      </c>
      <c r="AT71" s="112" t="s">
        <v>268</v>
      </c>
      <c r="AU71" s="112" t="s">
        <v>261</v>
      </c>
      <c r="AV71" s="119" t="s">
        <v>180</v>
      </c>
      <c r="AW71" s="122">
        <v>30</v>
      </c>
      <c r="AX71" s="122">
        <v>33</v>
      </c>
      <c r="AY71" s="122" t="s">
        <v>23</v>
      </c>
      <c r="AZ71" s="122" t="s">
        <v>23</v>
      </c>
      <c r="BA71" s="122">
        <v>36</v>
      </c>
      <c r="BB71" s="122">
        <v>39</v>
      </c>
      <c r="BC71" s="125" t="s">
        <v>23</v>
      </c>
      <c r="BD71" s="125" t="s">
        <v>23</v>
      </c>
      <c r="BE71" s="112">
        <f t="shared" si="79"/>
        <v>4</v>
      </c>
      <c r="BF71" s="112">
        <f>BE71*2</f>
        <v>8</v>
      </c>
      <c r="BG71" s="112">
        <f>BE71/6*100</f>
        <v>66.666666666666657</v>
      </c>
      <c r="BH71" s="114">
        <f t="shared" si="99"/>
        <v>200</v>
      </c>
      <c r="BI71" s="115"/>
      <c r="BJ71" s="116">
        <f>IF(BG71&lt;=40,0,IF(BG71&lt;=60,5,IF(BG71&gt;=61,10)))</f>
        <v>10</v>
      </c>
      <c r="BK71" s="117"/>
      <c r="BL71" s="116">
        <f t="shared" si="80"/>
        <v>750</v>
      </c>
      <c r="BM71" s="117"/>
      <c r="BN71" s="116">
        <f t="shared" si="81"/>
        <v>30</v>
      </c>
      <c r="BO71" s="11"/>
      <c r="BP71" s="1"/>
      <c r="BQ71" s="16">
        <v>19</v>
      </c>
      <c r="BR71" s="112" t="s">
        <v>268</v>
      </c>
      <c r="BS71" s="112" t="s">
        <v>261</v>
      </c>
      <c r="BT71" s="119" t="s">
        <v>180</v>
      </c>
      <c r="BU71" s="122">
        <v>42</v>
      </c>
      <c r="BV71" s="122">
        <v>45</v>
      </c>
      <c r="BW71" s="122">
        <v>48</v>
      </c>
      <c r="BX71" s="122">
        <v>51</v>
      </c>
      <c r="BY71" s="112">
        <f t="shared" si="82"/>
        <v>4</v>
      </c>
      <c r="BZ71" s="112">
        <f>BY71*2</f>
        <v>8</v>
      </c>
      <c r="CA71" s="112">
        <f t="shared" si="102"/>
        <v>100</v>
      </c>
      <c r="CB71" s="114">
        <f t="shared" si="124"/>
        <v>200</v>
      </c>
      <c r="CC71" s="115"/>
      <c r="CD71" s="116">
        <f>IF(CA71&lt;=40,0,IF(CA71&lt;=60,5,IF(CA71&gt;=61,10)))</f>
        <v>10</v>
      </c>
      <c r="CE71" s="117"/>
      <c r="CF71" s="155">
        <f t="shared" si="104"/>
        <v>950</v>
      </c>
      <c r="CG71" s="117"/>
      <c r="CH71" s="116">
        <f t="shared" si="125"/>
        <v>40</v>
      </c>
      <c r="CI71" s="117"/>
      <c r="CJ71" s="123"/>
      <c r="CK71" s="131">
        <v>19</v>
      </c>
      <c r="CL71" s="128" t="s">
        <v>139</v>
      </c>
      <c r="CM71" s="112" t="s">
        <v>21</v>
      </c>
      <c r="CN71" s="119" t="s">
        <v>180</v>
      </c>
      <c r="CO71" s="78"/>
      <c r="CP71" s="78"/>
      <c r="CQ71" s="78"/>
      <c r="CR71" s="78"/>
      <c r="CS71" s="78"/>
      <c r="CT71" s="112"/>
      <c r="CU71" s="112"/>
      <c r="CV71" s="112"/>
      <c r="CW71" s="112">
        <f t="shared" si="83"/>
        <v>0</v>
      </c>
      <c r="CX71" s="112">
        <f t="shared" si="105"/>
        <v>0</v>
      </c>
      <c r="CY71" s="112">
        <f t="shared" si="106"/>
        <v>0</v>
      </c>
      <c r="CZ71" s="114">
        <f t="shared" si="107"/>
        <v>0</v>
      </c>
      <c r="DA71" s="129"/>
      <c r="DB71" s="116">
        <f t="shared" si="108"/>
        <v>0</v>
      </c>
      <c r="DC71" s="130"/>
      <c r="DD71" s="116">
        <f t="shared" si="109"/>
        <v>950</v>
      </c>
      <c r="DE71" s="130"/>
      <c r="DF71" s="116">
        <f t="shared" si="110"/>
        <v>40</v>
      </c>
      <c r="DG71" s="11"/>
      <c r="DH71" s="1"/>
      <c r="DI71" s="131">
        <v>19</v>
      </c>
      <c r="DJ71" s="112" t="s">
        <v>268</v>
      </c>
      <c r="DK71" s="112" t="s">
        <v>21</v>
      </c>
      <c r="DL71" s="119" t="s">
        <v>180</v>
      </c>
      <c r="DM71" s="122"/>
      <c r="DN71" s="122"/>
      <c r="DO71" s="122"/>
      <c r="DP71" s="122"/>
      <c r="DQ71" s="122"/>
      <c r="DR71" s="122"/>
      <c r="DS71" s="122"/>
      <c r="DT71" s="112"/>
      <c r="DU71" s="112">
        <f t="shared" si="84"/>
        <v>0</v>
      </c>
      <c r="DV71" s="112">
        <f t="shared" si="111"/>
        <v>0</v>
      </c>
      <c r="DW71" s="112">
        <f t="shared" si="112"/>
        <v>0</v>
      </c>
      <c r="DX71" s="114">
        <f t="shared" si="113"/>
        <v>0</v>
      </c>
      <c r="DY71" s="129"/>
      <c r="DZ71" s="116">
        <f t="shared" si="114"/>
        <v>0</v>
      </c>
      <c r="EA71" s="130"/>
      <c r="EB71" s="116">
        <f t="shared" si="115"/>
        <v>950</v>
      </c>
      <c r="EC71" s="130"/>
      <c r="ED71" s="116">
        <f t="shared" si="116"/>
        <v>40</v>
      </c>
      <c r="EE71" s="11"/>
      <c r="EF71" s="1"/>
      <c r="EG71" s="16">
        <v>19</v>
      </c>
      <c r="EH71" s="112" t="s">
        <v>268</v>
      </c>
      <c r="EI71" s="112" t="s">
        <v>21</v>
      </c>
      <c r="EJ71" s="119" t="s">
        <v>180</v>
      </c>
      <c r="EK71" s="112"/>
      <c r="EL71" s="112"/>
      <c r="EM71" s="112"/>
      <c r="EN71" s="125"/>
      <c r="EO71" s="125"/>
      <c r="EP71" s="125"/>
      <c r="EQ71" s="125"/>
      <c r="ER71" s="112"/>
      <c r="ES71" s="112"/>
      <c r="ET71" s="112"/>
      <c r="EU71" s="112"/>
      <c r="EV71" s="112"/>
      <c r="EW71" s="112"/>
      <c r="EX71" s="112"/>
      <c r="EY71" s="112"/>
      <c r="EZ71" s="112"/>
      <c r="FA71" s="112">
        <f t="shared" si="85"/>
        <v>0</v>
      </c>
      <c r="FB71" s="112">
        <f>FA71*2</f>
        <v>0</v>
      </c>
      <c r="FC71" s="112">
        <f t="shared" si="118"/>
        <v>0</v>
      </c>
      <c r="FD71" s="114">
        <f t="shared" si="119"/>
        <v>0</v>
      </c>
      <c r="FE71" s="115"/>
      <c r="FF71" s="116">
        <f>IF(FC71&lt;=40,0,IF(FC71&lt;=60,5,IF(FC71&gt;=61,10)))</f>
        <v>0</v>
      </c>
      <c r="FG71" s="117"/>
      <c r="FH71" s="116">
        <f t="shared" si="86"/>
        <v>950</v>
      </c>
      <c r="FI71" s="117"/>
      <c r="FJ71" s="116">
        <f t="shared" si="87"/>
        <v>40</v>
      </c>
      <c r="FK71" s="117"/>
      <c r="FL71" s="123"/>
      <c r="FM71" s="126"/>
      <c r="FN71" s="127">
        <f>EN71/3</f>
        <v>0</v>
      </c>
      <c r="FO71" s="127">
        <f t="shared" si="122"/>
        <v>0</v>
      </c>
    </row>
    <row r="72" spans="1:174" ht="20.100000000000001" customHeight="1" x14ac:dyDescent="0.25">
      <c r="A72" s="16">
        <v>20</v>
      </c>
      <c r="B72" s="234" t="s">
        <v>380</v>
      </c>
      <c r="C72" s="237" t="s">
        <v>21</v>
      </c>
      <c r="D72" s="232" t="s">
        <v>381</v>
      </c>
      <c r="E72" s="112">
        <v>3</v>
      </c>
      <c r="F72" s="112">
        <v>6</v>
      </c>
      <c r="G72" s="112">
        <v>9</v>
      </c>
      <c r="H72" s="112">
        <v>12</v>
      </c>
      <c r="I72" s="112">
        <f t="shared" si="75"/>
        <v>4</v>
      </c>
      <c r="J72" s="112">
        <f>I72*2</f>
        <v>8</v>
      </c>
      <c r="K72" s="112">
        <f t="shared" si="123"/>
        <v>100</v>
      </c>
      <c r="L72" s="114">
        <f t="shared" si="89"/>
        <v>200</v>
      </c>
      <c r="M72" s="115"/>
      <c r="N72" s="116">
        <f>IF(K72&lt;=40,0,IF(K72&lt;=60,5,IF(K72&gt;=61,10)))</f>
        <v>10</v>
      </c>
      <c r="O72" s="117"/>
      <c r="P72" s="116">
        <f>L72</f>
        <v>200</v>
      </c>
      <c r="Q72" s="117"/>
      <c r="R72" s="116">
        <f>N72</f>
        <v>10</v>
      </c>
      <c r="S72" s="11"/>
      <c r="T72" s="1"/>
      <c r="U72" s="16">
        <v>20</v>
      </c>
      <c r="V72" s="112" t="s">
        <v>269</v>
      </c>
      <c r="W72" s="112" t="s">
        <v>21</v>
      </c>
      <c r="X72" s="120" t="s">
        <v>181</v>
      </c>
      <c r="Y72" s="78" t="s">
        <v>23</v>
      </c>
      <c r="Z72" s="122">
        <v>9</v>
      </c>
      <c r="AA72" s="78" t="s">
        <v>23</v>
      </c>
      <c r="AB72" s="122">
        <v>12</v>
      </c>
      <c r="AC72" s="78">
        <v>15</v>
      </c>
      <c r="AD72" s="78" t="s">
        <v>23</v>
      </c>
      <c r="AE72" s="122">
        <v>18</v>
      </c>
      <c r="AF72" s="78" t="s">
        <v>23</v>
      </c>
      <c r="AG72" s="112">
        <f t="shared" si="76"/>
        <v>4</v>
      </c>
      <c r="AH72" s="112">
        <f>AG72*2</f>
        <v>8</v>
      </c>
      <c r="AI72" s="112">
        <f t="shared" si="94"/>
        <v>50</v>
      </c>
      <c r="AJ72" s="114">
        <f t="shared" si="95"/>
        <v>200</v>
      </c>
      <c r="AK72" s="115"/>
      <c r="AL72" s="116">
        <f>IF(AI72&lt;=40,0,IF(AI72&lt;=60,5,IF(AI72&gt;=61,10)))</f>
        <v>5</v>
      </c>
      <c r="AM72" s="117"/>
      <c r="AN72" s="116">
        <f t="shared" si="77"/>
        <v>400</v>
      </c>
      <c r="AO72" s="11"/>
      <c r="AP72" s="124">
        <f t="shared" si="78"/>
        <v>15</v>
      </c>
      <c r="AQ72" s="11"/>
      <c r="AR72" s="1"/>
      <c r="AS72" s="16">
        <v>20</v>
      </c>
      <c r="AT72" s="112" t="s">
        <v>269</v>
      </c>
      <c r="AU72" s="112" t="s">
        <v>21</v>
      </c>
      <c r="AV72" s="120" t="s">
        <v>181</v>
      </c>
      <c r="AW72" s="122">
        <v>30</v>
      </c>
      <c r="AX72" s="122">
        <v>33</v>
      </c>
      <c r="AY72" s="122" t="s">
        <v>23</v>
      </c>
      <c r="AZ72" s="122">
        <v>36</v>
      </c>
      <c r="BA72" s="122" t="s">
        <v>23</v>
      </c>
      <c r="BB72" s="122" t="s">
        <v>23</v>
      </c>
      <c r="BC72" s="112">
        <v>39</v>
      </c>
      <c r="BD72" s="125">
        <v>42</v>
      </c>
      <c r="BE72" s="112">
        <f t="shared" si="79"/>
        <v>5</v>
      </c>
      <c r="BF72" s="112">
        <f>BE72*2</f>
        <v>10</v>
      </c>
      <c r="BG72" s="112">
        <f>BE72/6*100</f>
        <v>83.333333333333343</v>
      </c>
      <c r="BH72" s="114">
        <f t="shared" si="99"/>
        <v>250</v>
      </c>
      <c r="BI72" s="115"/>
      <c r="BJ72" s="116">
        <f>IF(BG72&lt;=40,0,IF(BG72&lt;=60,5,IF(BG72&gt;=61,10)))</f>
        <v>10</v>
      </c>
      <c r="BK72" s="117"/>
      <c r="BL72" s="116">
        <f t="shared" si="80"/>
        <v>650</v>
      </c>
      <c r="BM72" s="117"/>
      <c r="BN72" s="116">
        <f t="shared" si="81"/>
        <v>25</v>
      </c>
      <c r="BO72" s="11"/>
      <c r="BP72" s="1"/>
      <c r="BQ72" s="16">
        <v>20</v>
      </c>
      <c r="BR72" s="112" t="s">
        <v>269</v>
      </c>
      <c r="BS72" s="112" t="s">
        <v>21</v>
      </c>
      <c r="BT72" s="120" t="s">
        <v>181</v>
      </c>
      <c r="BU72" s="122" t="s">
        <v>23</v>
      </c>
      <c r="BV72" s="122" t="s">
        <v>23</v>
      </c>
      <c r="BW72" s="122" t="s">
        <v>23</v>
      </c>
      <c r="BX72" s="122" t="s">
        <v>23</v>
      </c>
      <c r="BY72" s="112">
        <f t="shared" si="82"/>
        <v>0</v>
      </c>
      <c r="BZ72" s="112">
        <f>BY72*2</f>
        <v>0</v>
      </c>
      <c r="CA72" s="112">
        <f t="shared" si="102"/>
        <v>0</v>
      </c>
      <c r="CB72" s="114">
        <f t="shared" si="124"/>
        <v>0</v>
      </c>
      <c r="CC72" s="115"/>
      <c r="CD72" s="116">
        <f>IF(CA72&lt;=40,0,IF(CA72&lt;=60,5,IF(CA72&gt;=61,10)))</f>
        <v>0</v>
      </c>
      <c r="CE72" s="117"/>
      <c r="CF72" s="155">
        <f t="shared" si="104"/>
        <v>650</v>
      </c>
      <c r="CG72" s="117"/>
      <c r="CH72" s="116">
        <f t="shared" si="125"/>
        <v>25</v>
      </c>
      <c r="CI72" s="117"/>
      <c r="CJ72" s="123"/>
      <c r="CK72" s="131">
        <v>20</v>
      </c>
      <c r="CL72" s="128" t="s">
        <v>141</v>
      </c>
      <c r="CM72" s="112" t="s">
        <v>21</v>
      </c>
      <c r="CN72" s="120" t="s">
        <v>181</v>
      </c>
      <c r="CO72" s="78"/>
      <c r="CP72" s="78"/>
      <c r="CQ72" s="78"/>
      <c r="CR72" s="78"/>
      <c r="CS72" s="78"/>
      <c r="CT72" s="112"/>
      <c r="CU72" s="112"/>
      <c r="CV72" s="112"/>
      <c r="CW72" s="112">
        <f t="shared" si="83"/>
        <v>0</v>
      </c>
      <c r="CX72" s="112">
        <f t="shared" si="105"/>
        <v>0</v>
      </c>
      <c r="CY72" s="112">
        <f t="shared" si="106"/>
        <v>0</v>
      </c>
      <c r="CZ72" s="114">
        <f t="shared" si="107"/>
        <v>0</v>
      </c>
      <c r="DA72" s="129"/>
      <c r="DB72" s="116">
        <f t="shared" si="108"/>
        <v>0</v>
      </c>
      <c r="DC72" s="130"/>
      <c r="DD72" s="116">
        <f t="shared" si="109"/>
        <v>650</v>
      </c>
      <c r="DE72" s="130"/>
      <c r="DF72" s="116">
        <f t="shared" si="110"/>
        <v>25</v>
      </c>
      <c r="DG72" s="11"/>
      <c r="DH72" s="1"/>
      <c r="DI72" s="131">
        <v>20</v>
      </c>
      <c r="DJ72" s="112" t="s">
        <v>269</v>
      </c>
      <c r="DK72" s="112" t="s">
        <v>21</v>
      </c>
      <c r="DL72" s="120" t="s">
        <v>181</v>
      </c>
      <c r="DM72" s="122"/>
      <c r="DN72" s="122"/>
      <c r="DO72" s="122"/>
      <c r="DP72" s="122"/>
      <c r="DQ72" s="122"/>
      <c r="DR72" s="122"/>
      <c r="DS72" s="122"/>
      <c r="DT72" s="112"/>
      <c r="DU72" s="112">
        <f t="shared" si="84"/>
        <v>0</v>
      </c>
      <c r="DV72" s="112">
        <f t="shared" si="111"/>
        <v>0</v>
      </c>
      <c r="DW72" s="112">
        <f t="shared" si="112"/>
        <v>0</v>
      </c>
      <c r="DX72" s="114">
        <f t="shared" si="113"/>
        <v>0</v>
      </c>
      <c r="DY72" s="129"/>
      <c r="DZ72" s="116">
        <f t="shared" si="114"/>
        <v>0</v>
      </c>
      <c r="EA72" s="130"/>
      <c r="EB72" s="116">
        <f t="shared" si="115"/>
        <v>650</v>
      </c>
      <c r="EC72" s="130"/>
      <c r="ED72" s="116">
        <f t="shared" si="116"/>
        <v>25</v>
      </c>
      <c r="EE72" s="11"/>
      <c r="EF72" s="1"/>
      <c r="EG72" s="16">
        <v>20</v>
      </c>
      <c r="EH72" s="112" t="s">
        <v>269</v>
      </c>
      <c r="EI72" s="112" t="s">
        <v>21</v>
      </c>
      <c r="EJ72" s="120" t="s">
        <v>181</v>
      </c>
      <c r="EK72" s="112"/>
      <c r="EL72" s="112"/>
      <c r="EM72" s="112"/>
      <c r="EN72" s="112"/>
      <c r="EO72" s="125"/>
      <c r="EP72" s="125"/>
      <c r="EQ72" s="125"/>
      <c r="ER72" s="112"/>
      <c r="ES72" s="112"/>
      <c r="ET72" s="112"/>
      <c r="EU72" s="112"/>
      <c r="EV72" s="112"/>
      <c r="EW72" s="112"/>
      <c r="EX72" s="112"/>
      <c r="EY72" s="112"/>
      <c r="EZ72" s="112"/>
      <c r="FA72" s="112">
        <f t="shared" si="85"/>
        <v>0</v>
      </c>
      <c r="FB72" s="112">
        <f>FA72*2</f>
        <v>0</v>
      </c>
      <c r="FC72" s="112">
        <f t="shared" si="118"/>
        <v>0</v>
      </c>
      <c r="FD72" s="114">
        <f t="shared" si="119"/>
        <v>0</v>
      </c>
      <c r="FE72" s="115"/>
      <c r="FF72" s="116">
        <f>IF(FC72&lt;=40,0,IF(FC72&lt;=60,5,IF(FC72&gt;=61,10)))</f>
        <v>0</v>
      </c>
      <c r="FG72" s="117"/>
      <c r="FH72" s="116">
        <f t="shared" si="86"/>
        <v>650</v>
      </c>
      <c r="FI72" s="117"/>
      <c r="FJ72" s="116">
        <f t="shared" si="87"/>
        <v>25</v>
      </c>
      <c r="FK72" s="117"/>
      <c r="FL72" s="123"/>
      <c r="FM72" s="126"/>
      <c r="FN72" s="127">
        <f>EN72/3</f>
        <v>0</v>
      </c>
      <c r="FO72" s="127">
        <f t="shared" si="122"/>
        <v>0</v>
      </c>
    </row>
    <row r="73" spans="1:174" ht="20.100000000000001" customHeight="1" x14ac:dyDescent="0.25">
      <c r="A73" s="16">
        <v>21</v>
      </c>
      <c r="B73" s="234" t="s">
        <v>382</v>
      </c>
      <c r="C73" s="237" t="s">
        <v>21</v>
      </c>
      <c r="D73" s="232" t="s">
        <v>383</v>
      </c>
      <c r="E73" s="112">
        <v>3</v>
      </c>
      <c r="F73" s="112">
        <v>6</v>
      </c>
      <c r="G73" s="112" t="s">
        <v>23</v>
      </c>
      <c r="H73" s="112" t="s">
        <v>23</v>
      </c>
      <c r="I73" s="112">
        <f t="shared" si="75"/>
        <v>2</v>
      </c>
      <c r="J73" s="112">
        <f t="shared" si="88"/>
        <v>4</v>
      </c>
      <c r="K73" s="112">
        <f t="shared" si="123"/>
        <v>50</v>
      </c>
      <c r="L73" s="114">
        <f t="shared" si="89"/>
        <v>100</v>
      </c>
      <c r="M73" s="115"/>
      <c r="N73" s="116">
        <f t="shared" si="90"/>
        <v>5</v>
      </c>
      <c r="O73" s="117"/>
      <c r="P73" s="116">
        <f t="shared" si="91"/>
        <v>100</v>
      </c>
      <c r="Q73" s="117"/>
      <c r="R73" s="116">
        <f t="shared" si="92"/>
        <v>5</v>
      </c>
      <c r="S73" s="11"/>
      <c r="T73" s="1"/>
      <c r="U73" s="16">
        <v>21</v>
      </c>
      <c r="V73" s="112" t="s">
        <v>270</v>
      </c>
      <c r="W73" s="112" t="s">
        <v>261</v>
      </c>
      <c r="X73" s="121" t="s">
        <v>182</v>
      </c>
      <c r="Y73" s="78">
        <v>15</v>
      </c>
      <c r="Z73" s="122" t="s">
        <v>23</v>
      </c>
      <c r="AA73" s="78">
        <v>18</v>
      </c>
      <c r="AB73" s="122" t="s">
        <v>23</v>
      </c>
      <c r="AC73" s="78" t="s">
        <v>23</v>
      </c>
      <c r="AD73" s="78">
        <v>21</v>
      </c>
      <c r="AE73" s="122" t="s">
        <v>23</v>
      </c>
      <c r="AF73" s="78">
        <v>24</v>
      </c>
      <c r="AG73" s="112">
        <f t="shared" si="76"/>
        <v>4</v>
      </c>
      <c r="AH73" s="112">
        <f t="shared" si="93"/>
        <v>8</v>
      </c>
      <c r="AI73" s="112">
        <f t="shared" si="94"/>
        <v>50</v>
      </c>
      <c r="AJ73" s="114">
        <f t="shared" si="95"/>
        <v>200</v>
      </c>
      <c r="AK73" s="115"/>
      <c r="AL73" s="116">
        <f t="shared" si="96"/>
        <v>5</v>
      </c>
      <c r="AM73" s="117"/>
      <c r="AN73" s="116">
        <f t="shared" si="77"/>
        <v>300</v>
      </c>
      <c r="AO73" s="11"/>
      <c r="AP73" s="124">
        <f t="shared" si="78"/>
        <v>10</v>
      </c>
      <c r="AQ73" s="11"/>
      <c r="AR73" s="1"/>
      <c r="AS73" s="16">
        <v>21</v>
      </c>
      <c r="AT73" s="112" t="s">
        <v>270</v>
      </c>
      <c r="AU73" s="112" t="s">
        <v>261</v>
      </c>
      <c r="AV73" s="121" t="s">
        <v>182</v>
      </c>
      <c r="AW73" s="122" t="s">
        <v>23</v>
      </c>
      <c r="AX73" s="122" t="s">
        <v>23</v>
      </c>
      <c r="AY73" s="122">
        <v>21</v>
      </c>
      <c r="AZ73" s="122">
        <v>24</v>
      </c>
      <c r="BA73" s="122">
        <v>27</v>
      </c>
      <c r="BB73" s="122">
        <v>30</v>
      </c>
      <c r="BC73" s="125" t="s">
        <v>23</v>
      </c>
      <c r="BD73" s="125" t="s">
        <v>23</v>
      </c>
      <c r="BE73" s="112">
        <f t="shared" si="79"/>
        <v>4</v>
      </c>
      <c r="BF73" s="112">
        <f t="shared" ref="BF73:BF74" si="126">BE73*2</f>
        <v>8</v>
      </c>
      <c r="BG73" s="112">
        <f t="shared" ref="BG73:BG74" si="127">BE73/6*100</f>
        <v>66.666666666666657</v>
      </c>
      <c r="BH73" s="114">
        <f t="shared" si="99"/>
        <v>200</v>
      </c>
      <c r="BI73" s="115"/>
      <c r="BJ73" s="116">
        <f t="shared" ref="BJ73:BJ74" si="128">IF(BG73&lt;=40,0,IF(BG73&lt;=60,5,IF(BG73&gt;=61,10)))</f>
        <v>10</v>
      </c>
      <c r="BK73" s="117"/>
      <c r="BL73" s="116">
        <f t="shared" si="80"/>
        <v>500</v>
      </c>
      <c r="BM73" s="117"/>
      <c r="BN73" s="116">
        <f t="shared" si="81"/>
        <v>20</v>
      </c>
      <c r="BO73" s="11"/>
      <c r="BP73" s="1"/>
      <c r="BQ73" s="16">
        <v>21</v>
      </c>
      <c r="BR73" s="112" t="s">
        <v>270</v>
      </c>
      <c r="BS73" s="112" t="s">
        <v>261</v>
      </c>
      <c r="BT73" s="121" t="s">
        <v>182</v>
      </c>
      <c r="BU73" s="122">
        <v>33</v>
      </c>
      <c r="BV73" s="122">
        <v>36</v>
      </c>
      <c r="BW73" s="122">
        <v>39</v>
      </c>
      <c r="BX73" s="122" t="s">
        <v>23</v>
      </c>
      <c r="BY73" s="112">
        <f t="shared" si="82"/>
        <v>3</v>
      </c>
      <c r="BZ73" s="112">
        <f t="shared" si="101"/>
        <v>6</v>
      </c>
      <c r="CA73" s="112">
        <f t="shared" si="102"/>
        <v>75</v>
      </c>
      <c r="CB73" s="114">
        <f t="shared" si="124"/>
        <v>150</v>
      </c>
      <c r="CC73" s="115"/>
      <c r="CD73" s="116">
        <f t="shared" si="103"/>
        <v>10</v>
      </c>
      <c r="CE73" s="117"/>
      <c r="CF73" s="155">
        <f t="shared" si="104"/>
        <v>650</v>
      </c>
      <c r="CG73" s="117"/>
      <c r="CH73" s="116">
        <f t="shared" si="125"/>
        <v>30</v>
      </c>
      <c r="CI73" s="117"/>
      <c r="CJ73" s="123"/>
      <c r="CK73" s="131">
        <v>21</v>
      </c>
      <c r="CL73" s="128" t="s">
        <v>143</v>
      </c>
      <c r="CM73" s="112" t="s">
        <v>21</v>
      </c>
      <c r="CN73" s="121" t="s">
        <v>182</v>
      </c>
      <c r="CO73" s="78"/>
      <c r="CP73" s="78"/>
      <c r="CQ73" s="78"/>
      <c r="CR73" s="78"/>
      <c r="CS73" s="78"/>
      <c r="CT73" s="112"/>
      <c r="CU73" s="112"/>
      <c r="CV73" s="112"/>
      <c r="CW73" s="112">
        <f t="shared" si="83"/>
        <v>0</v>
      </c>
      <c r="CX73" s="112">
        <f t="shared" si="105"/>
        <v>0</v>
      </c>
      <c r="CY73" s="112">
        <f t="shared" si="106"/>
        <v>0</v>
      </c>
      <c r="CZ73" s="114">
        <f t="shared" si="107"/>
        <v>0</v>
      </c>
      <c r="DA73" s="129"/>
      <c r="DB73" s="116">
        <f t="shared" si="108"/>
        <v>0</v>
      </c>
      <c r="DC73" s="130"/>
      <c r="DD73" s="116">
        <f t="shared" si="109"/>
        <v>650</v>
      </c>
      <c r="DE73" s="130"/>
      <c r="DF73" s="116">
        <f t="shared" si="110"/>
        <v>30</v>
      </c>
      <c r="DG73" s="11"/>
      <c r="DH73" s="1"/>
      <c r="DI73" s="131">
        <v>21</v>
      </c>
      <c r="DJ73" s="112" t="s">
        <v>270</v>
      </c>
      <c r="DK73" s="112" t="s">
        <v>21</v>
      </c>
      <c r="DL73" s="121" t="s">
        <v>182</v>
      </c>
      <c r="DM73" s="122"/>
      <c r="DN73" s="122"/>
      <c r="DO73" s="122"/>
      <c r="DP73" s="122"/>
      <c r="DQ73" s="122"/>
      <c r="DR73" s="122"/>
      <c r="DS73" s="122"/>
      <c r="DT73" s="112"/>
      <c r="DU73" s="112">
        <f t="shared" si="84"/>
        <v>0</v>
      </c>
      <c r="DV73" s="112">
        <f t="shared" si="111"/>
        <v>0</v>
      </c>
      <c r="DW73" s="112">
        <f t="shared" si="112"/>
        <v>0</v>
      </c>
      <c r="DX73" s="114">
        <f t="shared" si="113"/>
        <v>0</v>
      </c>
      <c r="DY73" s="129"/>
      <c r="DZ73" s="116">
        <f t="shared" si="114"/>
        <v>0</v>
      </c>
      <c r="EA73" s="130"/>
      <c r="EB73" s="116">
        <f t="shared" si="115"/>
        <v>650</v>
      </c>
      <c r="EC73" s="130"/>
      <c r="ED73" s="116">
        <f t="shared" si="116"/>
        <v>30</v>
      </c>
      <c r="EE73" s="11"/>
      <c r="EF73" s="1"/>
      <c r="EG73" s="16">
        <v>21</v>
      </c>
      <c r="EH73" s="112" t="s">
        <v>270</v>
      </c>
      <c r="EI73" s="112" t="s">
        <v>21</v>
      </c>
      <c r="EJ73" s="121" t="s">
        <v>182</v>
      </c>
      <c r="EK73" s="112"/>
      <c r="EL73" s="125"/>
      <c r="EM73" s="112"/>
      <c r="EN73" s="125"/>
      <c r="EO73" s="125"/>
      <c r="EP73" s="125"/>
      <c r="EQ73" s="125"/>
      <c r="ER73" s="112"/>
      <c r="ES73" s="112"/>
      <c r="ET73" s="112"/>
      <c r="EU73" s="112"/>
      <c r="EV73" s="112"/>
      <c r="EW73" s="112"/>
      <c r="EX73" s="112"/>
      <c r="EY73" s="112"/>
      <c r="EZ73" s="112"/>
      <c r="FA73" s="112">
        <f t="shared" si="85"/>
        <v>0</v>
      </c>
      <c r="FB73" s="112">
        <f t="shared" si="117"/>
        <v>0</v>
      </c>
      <c r="FC73" s="112">
        <f t="shared" si="118"/>
        <v>0</v>
      </c>
      <c r="FD73" s="114">
        <f t="shared" si="119"/>
        <v>0</v>
      </c>
      <c r="FE73" s="115"/>
      <c r="FF73" s="116">
        <f t="shared" si="120"/>
        <v>0</v>
      </c>
      <c r="FG73" s="117"/>
      <c r="FH73" s="116">
        <f t="shared" si="86"/>
        <v>650</v>
      </c>
      <c r="FI73" s="117"/>
      <c r="FJ73" s="116">
        <f t="shared" si="87"/>
        <v>30</v>
      </c>
      <c r="FK73" s="117"/>
      <c r="FL73" s="123"/>
      <c r="FM73" s="126"/>
      <c r="FN73" s="127">
        <f>EN73/3</f>
        <v>0</v>
      </c>
      <c r="FO73" s="127">
        <f t="shared" si="122"/>
        <v>0</v>
      </c>
    </row>
    <row r="74" spans="1:174" ht="20.100000000000001" customHeight="1" x14ac:dyDescent="0.25">
      <c r="A74" s="16">
        <v>22</v>
      </c>
      <c r="B74" s="234" t="s">
        <v>384</v>
      </c>
      <c r="C74" s="233" t="s">
        <v>21</v>
      </c>
      <c r="D74" s="232" t="s">
        <v>385</v>
      </c>
      <c r="E74" s="112">
        <v>3</v>
      </c>
      <c r="F74" s="112">
        <v>6</v>
      </c>
      <c r="G74" s="112">
        <v>9</v>
      </c>
      <c r="H74" s="112">
        <v>12</v>
      </c>
      <c r="I74" s="112">
        <f t="shared" si="75"/>
        <v>4</v>
      </c>
      <c r="J74" s="112">
        <f t="shared" ref="J74:J75" si="129">I74*2</f>
        <v>8</v>
      </c>
      <c r="K74" s="112">
        <f t="shared" si="123"/>
        <v>100</v>
      </c>
      <c r="L74" s="114">
        <f t="shared" si="89"/>
        <v>200</v>
      </c>
      <c r="M74" s="115"/>
      <c r="N74" s="116">
        <f t="shared" ref="N74:N75" si="130">IF(K74&lt;=40,0,IF(K74&lt;=60,5,IF(K74&gt;=61,10)))</f>
        <v>10</v>
      </c>
      <c r="O74" s="117"/>
      <c r="P74" s="116">
        <f t="shared" ref="P74:P75" si="131">L74</f>
        <v>200</v>
      </c>
      <c r="Q74" s="117"/>
      <c r="R74" s="116">
        <f t="shared" ref="R74:R75" si="132">N74</f>
        <v>10</v>
      </c>
      <c r="S74" s="11"/>
      <c r="T74" s="1"/>
      <c r="U74" s="16">
        <v>22</v>
      </c>
      <c r="V74" s="112" t="s">
        <v>271</v>
      </c>
      <c r="W74" s="112" t="s">
        <v>263</v>
      </c>
      <c r="X74" s="121" t="s">
        <v>183</v>
      </c>
      <c r="Y74" s="78">
        <v>15</v>
      </c>
      <c r="Z74" s="122">
        <v>18</v>
      </c>
      <c r="AA74" s="78" t="s">
        <v>23</v>
      </c>
      <c r="AB74" s="122" t="s">
        <v>23</v>
      </c>
      <c r="AC74" s="78" t="s">
        <v>23</v>
      </c>
      <c r="AD74" s="78" t="s">
        <v>23</v>
      </c>
      <c r="AE74" s="122" t="s">
        <v>23</v>
      </c>
      <c r="AF74" s="78" t="s">
        <v>23</v>
      </c>
      <c r="AG74" s="112">
        <f t="shared" si="76"/>
        <v>2</v>
      </c>
      <c r="AH74" s="112">
        <f t="shared" ref="AH74" si="133">AG74*2</f>
        <v>4</v>
      </c>
      <c r="AI74" s="112">
        <f t="shared" si="94"/>
        <v>25</v>
      </c>
      <c r="AJ74" s="114">
        <f t="shared" si="95"/>
        <v>100</v>
      </c>
      <c r="AK74" s="115"/>
      <c r="AL74" s="116">
        <f t="shared" ref="AL74" si="134">IF(AI74&lt;=40,0,IF(AI74&lt;=60,5,IF(AI74&gt;=61,10)))</f>
        <v>0</v>
      </c>
      <c r="AM74" s="117"/>
      <c r="AN74" s="116">
        <f t="shared" si="77"/>
        <v>300</v>
      </c>
      <c r="AO74" s="11"/>
      <c r="AP74" s="124">
        <f t="shared" si="78"/>
        <v>10</v>
      </c>
      <c r="AQ74" s="11"/>
      <c r="AR74" s="1"/>
      <c r="AS74" s="16">
        <v>22</v>
      </c>
      <c r="AT74" s="112" t="s">
        <v>271</v>
      </c>
      <c r="AU74" s="112" t="s">
        <v>263</v>
      </c>
      <c r="AV74" s="121" t="s">
        <v>183</v>
      </c>
      <c r="AW74" s="78">
        <v>21</v>
      </c>
      <c r="AX74" s="122">
        <v>24</v>
      </c>
      <c r="AY74" s="122">
        <v>27</v>
      </c>
      <c r="AZ74" s="78">
        <v>30</v>
      </c>
      <c r="BA74" s="78">
        <v>33</v>
      </c>
      <c r="BB74" s="122">
        <v>36</v>
      </c>
      <c r="BC74" s="112">
        <v>39</v>
      </c>
      <c r="BD74" s="112">
        <v>42</v>
      </c>
      <c r="BE74" s="112">
        <f t="shared" si="79"/>
        <v>8</v>
      </c>
      <c r="BF74" s="112">
        <f t="shared" si="126"/>
        <v>16</v>
      </c>
      <c r="BG74" s="112">
        <f t="shared" si="127"/>
        <v>133.33333333333331</v>
      </c>
      <c r="BH74" s="114">
        <f t="shared" si="99"/>
        <v>400</v>
      </c>
      <c r="BI74" s="115"/>
      <c r="BJ74" s="116">
        <f t="shared" si="128"/>
        <v>10</v>
      </c>
      <c r="BK74" s="117"/>
      <c r="BL74" s="116">
        <f t="shared" si="80"/>
        <v>700</v>
      </c>
      <c r="BM74" s="117"/>
      <c r="BN74" s="116">
        <f t="shared" si="81"/>
        <v>20</v>
      </c>
      <c r="BO74" s="11"/>
      <c r="BP74" s="1"/>
      <c r="BQ74" s="16">
        <v>22</v>
      </c>
      <c r="BR74" s="112" t="s">
        <v>271</v>
      </c>
      <c r="BS74" s="112" t="s">
        <v>263</v>
      </c>
      <c r="BT74" s="121" t="s">
        <v>183</v>
      </c>
      <c r="BU74" s="122">
        <v>45</v>
      </c>
      <c r="BV74" s="78">
        <v>48</v>
      </c>
      <c r="BW74" s="78">
        <v>51</v>
      </c>
      <c r="BX74" s="122">
        <v>54</v>
      </c>
      <c r="BY74" s="112">
        <f t="shared" si="82"/>
        <v>4</v>
      </c>
      <c r="BZ74" s="112">
        <f t="shared" ref="BZ74" si="135">BY74*2</f>
        <v>8</v>
      </c>
      <c r="CA74" s="112">
        <f t="shared" si="102"/>
        <v>100</v>
      </c>
      <c r="CB74" s="114">
        <f t="shared" si="124"/>
        <v>200</v>
      </c>
      <c r="CC74" s="115"/>
      <c r="CD74" s="116">
        <f t="shared" ref="CD74" si="136">IF(CA74&lt;=40,0,IF(CA74&lt;=60,5,IF(CA74&gt;=61,10)))</f>
        <v>10</v>
      </c>
      <c r="CE74" s="117"/>
      <c r="CF74" s="155">
        <f t="shared" si="104"/>
        <v>900</v>
      </c>
      <c r="CG74" s="117"/>
      <c r="CH74" s="116">
        <f t="shared" si="125"/>
        <v>30</v>
      </c>
      <c r="CI74" s="117"/>
      <c r="CJ74" s="123"/>
      <c r="CK74" s="131">
        <v>22</v>
      </c>
      <c r="CL74" s="128" t="s">
        <v>145</v>
      </c>
      <c r="CM74" s="112" t="s">
        <v>261</v>
      </c>
      <c r="CN74" s="121" t="s">
        <v>183</v>
      </c>
      <c r="CO74" s="78"/>
      <c r="CP74" s="78"/>
      <c r="CQ74" s="78"/>
      <c r="CR74" s="78"/>
      <c r="CS74" s="78"/>
      <c r="CT74" s="112"/>
      <c r="CU74" s="112"/>
      <c r="CV74" s="112"/>
      <c r="CW74" s="112">
        <f t="shared" si="83"/>
        <v>0</v>
      </c>
      <c r="CX74" s="112">
        <f t="shared" si="105"/>
        <v>0</v>
      </c>
      <c r="CY74" s="112">
        <f t="shared" si="106"/>
        <v>0</v>
      </c>
      <c r="CZ74" s="114">
        <f t="shared" si="107"/>
        <v>0</v>
      </c>
      <c r="DA74" s="129"/>
      <c r="DB74" s="116">
        <f t="shared" si="108"/>
        <v>0</v>
      </c>
      <c r="DC74" s="130"/>
      <c r="DD74" s="116">
        <f t="shared" si="109"/>
        <v>900</v>
      </c>
      <c r="DE74" s="130"/>
      <c r="DF74" s="116">
        <f t="shared" si="110"/>
        <v>30</v>
      </c>
      <c r="DG74" s="11"/>
      <c r="DH74" s="1"/>
      <c r="DI74" s="131">
        <v>22</v>
      </c>
      <c r="DJ74" s="112" t="s">
        <v>271</v>
      </c>
      <c r="DK74" s="112" t="s">
        <v>261</v>
      </c>
      <c r="DL74" s="121" t="s">
        <v>183</v>
      </c>
      <c r="DM74" s="122"/>
      <c r="DN74" s="122"/>
      <c r="DO74" s="122"/>
      <c r="DP74" s="122"/>
      <c r="DQ74" s="122"/>
      <c r="DR74" s="78"/>
      <c r="DS74" s="78"/>
      <c r="DT74" s="112"/>
      <c r="DU74" s="112">
        <f t="shared" si="84"/>
        <v>0</v>
      </c>
      <c r="DV74" s="112">
        <f t="shared" si="111"/>
        <v>0</v>
      </c>
      <c r="DW74" s="112">
        <f t="shared" si="112"/>
        <v>0</v>
      </c>
      <c r="DX74" s="114">
        <f t="shared" si="113"/>
        <v>0</v>
      </c>
      <c r="DY74" s="129"/>
      <c r="DZ74" s="116">
        <f t="shared" si="114"/>
        <v>0</v>
      </c>
      <c r="EA74" s="130"/>
      <c r="EB74" s="116">
        <f t="shared" si="115"/>
        <v>900</v>
      </c>
      <c r="EC74" s="130"/>
      <c r="ED74" s="116">
        <f t="shared" si="116"/>
        <v>30</v>
      </c>
      <c r="EE74" s="11"/>
      <c r="EF74" s="1"/>
      <c r="EG74" s="16">
        <v>22</v>
      </c>
      <c r="EH74" s="112" t="s">
        <v>271</v>
      </c>
      <c r="EI74" s="112" t="s">
        <v>261</v>
      </c>
      <c r="EJ74" s="121" t="s">
        <v>183</v>
      </c>
      <c r="EK74" s="112"/>
      <c r="EL74" s="112"/>
      <c r="EM74" s="112"/>
      <c r="EN74" s="125"/>
      <c r="EO74" s="125"/>
      <c r="EP74" s="125"/>
      <c r="EQ74" s="125"/>
      <c r="ER74" s="112"/>
      <c r="ES74" s="112"/>
      <c r="ET74" s="112"/>
      <c r="EU74" s="112"/>
      <c r="EV74" s="112"/>
      <c r="EW74" s="112"/>
      <c r="EX74" s="112"/>
      <c r="EY74" s="112"/>
      <c r="EZ74" s="112"/>
      <c r="FA74" s="112">
        <f t="shared" si="85"/>
        <v>0</v>
      </c>
      <c r="FB74" s="112">
        <f t="shared" ref="FB74" si="137">FA74*2</f>
        <v>0</v>
      </c>
      <c r="FC74" s="112">
        <f t="shared" si="118"/>
        <v>0</v>
      </c>
      <c r="FD74" s="114">
        <f t="shared" si="119"/>
        <v>0</v>
      </c>
      <c r="FE74" s="115"/>
      <c r="FF74" s="116">
        <f t="shared" ref="FF74" si="138">IF(FC74&lt;=40,0,IF(FC74&lt;=60,5,IF(FC74&gt;=61,10)))</f>
        <v>0</v>
      </c>
      <c r="FG74" s="117"/>
      <c r="FH74" s="116">
        <f t="shared" si="86"/>
        <v>900</v>
      </c>
      <c r="FI74" s="117"/>
      <c r="FJ74" s="116">
        <f t="shared" si="87"/>
        <v>30</v>
      </c>
      <c r="FK74" s="117"/>
      <c r="FL74" s="123"/>
      <c r="FM74" s="126"/>
      <c r="FN74" s="127">
        <f>EN74/3</f>
        <v>0</v>
      </c>
      <c r="FO74" s="127">
        <f t="shared" si="122"/>
        <v>0</v>
      </c>
    </row>
    <row r="75" spans="1:174" ht="20.100000000000001" customHeight="1" x14ac:dyDescent="0.25">
      <c r="A75" s="16"/>
      <c r="B75" s="13"/>
      <c r="C75" s="15"/>
      <c r="D75" s="64"/>
      <c r="E75" s="13"/>
      <c r="F75" s="13"/>
      <c r="G75" s="13"/>
      <c r="H75" s="13"/>
      <c r="I75" s="13">
        <f t="shared" si="75"/>
        <v>0</v>
      </c>
      <c r="J75" s="13">
        <f t="shared" si="129"/>
        <v>0</v>
      </c>
      <c r="K75" s="13">
        <f t="shared" si="123"/>
        <v>0</v>
      </c>
      <c r="L75" s="21">
        <f t="shared" si="89"/>
        <v>0</v>
      </c>
      <c r="M75" s="8"/>
      <c r="N75" s="20">
        <f t="shared" si="130"/>
        <v>0</v>
      </c>
      <c r="O75" s="11"/>
      <c r="P75" s="20">
        <f t="shared" si="131"/>
        <v>0</v>
      </c>
      <c r="Q75" s="11"/>
      <c r="R75" s="20">
        <f t="shared" si="132"/>
        <v>0</v>
      </c>
      <c r="S75" s="11"/>
      <c r="T75" s="1"/>
      <c r="U75" s="16"/>
      <c r="V75" s="13"/>
      <c r="W75" s="15"/>
      <c r="X75" s="64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21"/>
      <c r="AK75" s="8"/>
      <c r="AL75" s="20"/>
      <c r="AM75" s="11"/>
      <c r="AN75" s="20"/>
      <c r="AO75" s="11"/>
      <c r="AP75" s="20"/>
      <c r="AQ75" s="11"/>
      <c r="AR75" s="1"/>
      <c r="AS75" s="16"/>
      <c r="AT75" s="13"/>
      <c r="AU75" s="15"/>
      <c r="AV75" s="64"/>
      <c r="AW75" s="13"/>
      <c r="AX75" s="13"/>
      <c r="AY75" s="13"/>
      <c r="AZ75" s="13"/>
      <c r="BA75" s="13"/>
      <c r="BB75" s="13"/>
      <c r="BC75" s="55"/>
      <c r="BD75" s="55"/>
      <c r="BE75" s="13"/>
      <c r="BF75" s="13"/>
      <c r="BG75" s="13"/>
      <c r="BH75" s="21"/>
      <c r="BI75" s="8"/>
      <c r="BJ75" s="20"/>
      <c r="BK75" s="11"/>
      <c r="BL75" s="20"/>
      <c r="BM75" s="11"/>
      <c r="BN75" s="20"/>
      <c r="BO75" s="11"/>
      <c r="BP75" s="1"/>
      <c r="BQ75" s="16"/>
      <c r="BR75" s="13"/>
      <c r="BS75" s="15"/>
      <c r="BT75" s="64"/>
      <c r="BU75" s="13"/>
      <c r="BV75" s="13"/>
      <c r="BW75" s="13"/>
      <c r="BX75" s="13"/>
      <c r="BY75" s="13"/>
      <c r="BZ75" s="13"/>
      <c r="CA75" s="13"/>
      <c r="CB75" s="21"/>
      <c r="CC75" s="8"/>
      <c r="CD75" s="20"/>
      <c r="CE75" s="11"/>
      <c r="CF75" s="20"/>
      <c r="CG75" s="11"/>
      <c r="CH75" s="20"/>
      <c r="CI75" s="11"/>
      <c r="CJ75" s="1"/>
      <c r="CK75" s="16"/>
      <c r="CL75" s="13"/>
      <c r="CM75" s="15"/>
      <c r="CN75" s="85"/>
      <c r="CO75" s="55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21"/>
      <c r="DA75" s="8"/>
      <c r="DB75" s="20"/>
      <c r="DC75" s="11"/>
      <c r="DD75" s="20"/>
      <c r="DE75" s="11"/>
      <c r="DF75" s="20"/>
      <c r="DG75" s="11"/>
      <c r="DH75" s="1"/>
      <c r="DI75" s="127"/>
      <c r="DJ75" s="112"/>
      <c r="DK75" s="132"/>
      <c r="DL75" s="133"/>
      <c r="DM75" s="112"/>
      <c r="DN75" s="112"/>
      <c r="DO75" s="112"/>
      <c r="DP75" s="112"/>
      <c r="DQ75" s="112"/>
      <c r="DR75" s="112"/>
      <c r="DS75" s="112"/>
      <c r="DT75" s="112"/>
      <c r="DU75" s="112"/>
      <c r="DV75" s="112"/>
      <c r="DW75" s="112"/>
      <c r="DX75" s="114"/>
      <c r="DY75" s="115"/>
      <c r="DZ75" s="116"/>
      <c r="EA75" s="117"/>
      <c r="EB75" s="116"/>
      <c r="EC75" s="117"/>
      <c r="ED75" s="116"/>
      <c r="EE75" s="11"/>
      <c r="EF75" s="1"/>
      <c r="EG75" s="16"/>
      <c r="EH75" s="13"/>
      <c r="EI75" s="15"/>
      <c r="EJ75" s="64"/>
      <c r="EK75" s="13"/>
      <c r="EL75" s="13"/>
      <c r="EM75" s="13"/>
      <c r="EN75" s="55"/>
      <c r="EO75" s="55"/>
      <c r="EP75" s="55"/>
      <c r="EQ75" s="55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21"/>
      <c r="FE75" s="8"/>
      <c r="FF75" s="20"/>
      <c r="FG75" s="11"/>
      <c r="FH75" s="20"/>
      <c r="FI75" s="11"/>
      <c r="FJ75" s="20"/>
      <c r="FK75" s="11"/>
      <c r="FL75" s="1"/>
      <c r="FN75" s="16"/>
      <c r="FO75" s="16"/>
    </row>
    <row r="76" spans="1:174" ht="20.100000000000001" customHeight="1" x14ac:dyDescent="0.25">
      <c r="A76" s="16"/>
      <c r="B76" s="63"/>
      <c r="C76" s="36"/>
      <c r="D76" s="37"/>
      <c r="E76" s="58">
        <f>COUNT(E53:E75)</f>
        <v>18</v>
      </c>
      <c r="F76" s="58">
        <f t="shared" ref="F76:H76" si="139">COUNT(F53:F75)</f>
        <v>17</v>
      </c>
      <c r="G76" s="58">
        <f t="shared" si="139"/>
        <v>17</v>
      </c>
      <c r="H76" s="58">
        <f t="shared" si="139"/>
        <v>16</v>
      </c>
      <c r="I76" s="29"/>
      <c r="J76" s="29"/>
      <c r="K76" s="29"/>
      <c r="L76" s="31"/>
      <c r="M76" s="32"/>
      <c r="N76" s="33"/>
      <c r="O76" s="34"/>
      <c r="P76" s="33"/>
      <c r="Q76" s="34"/>
      <c r="R76" s="33"/>
      <c r="S76" s="34"/>
      <c r="T76" s="30"/>
      <c r="U76" s="28"/>
      <c r="V76" s="29"/>
      <c r="W76" s="36"/>
      <c r="X76" s="37"/>
      <c r="Y76" s="58">
        <f>COUNT(Y53:Y74)</f>
        <v>16</v>
      </c>
      <c r="Z76" s="58">
        <f t="shared" ref="Z76:AF76" si="140">COUNT(Z53:Z75)</f>
        <v>15</v>
      </c>
      <c r="AA76" s="58">
        <f t="shared" si="140"/>
        <v>14</v>
      </c>
      <c r="AB76" s="58">
        <f t="shared" si="140"/>
        <v>15</v>
      </c>
      <c r="AC76" s="58">
        <f t="shared" si="140"/>
        <v>15</v>
      </c>
      <c r="AD76" s="58">
        <f t="shared" si="140"/>
        <v>15</v>
      </c>
      <c r="AE76" s="58">
        <f t="shared" si="140"/>
        <v>15</v>
      </c>
      <c r="AF76" s="58">
        <f t="shared" si="140"/>
        <v>15</v>
      </c>
      <c r="AG76" s="29"/>
      <c r="AH76" s="29"/>
      <c r="AI76" s="29"/>
      <c r="AJ76" s="31"/>
      <c r="AK76" s="32"/>
      <c r="AL76" s="33"/>
      <c r="AM76" s="34"/>
      <c r="AN76" s="33"/>
      <c r="AO76" s="34"/>
      <c r="AP76" s="33"/>
      <c r="AQ76" s="34"/>
      <c r="AR76" s="30"/>
      <c r="AS76" s="28"/>
      <c r="AT76" s="29"/>
      <c r="AU76" s="36"/>
      <c r="AV76" s="37"/>
      <c r="AW76" s="58">
        <f>COUNT(AW53:AW75)</f>
        <v>14</v>
      </c>
      <c r="AX76" s="58">
        <f t="shared" ref="AX76:BD76" si="141">COUNT(AX53:AX75)</f>
        <v>14</v>
      </c>
      <c r="AY76" s="58">
        <f t="shared" si="141"/>
        <v>14</v>
      </c>
      <c r="AZ76" s="58">
        <f t="shared" si="141"/>
        <v>14</v>
      </c>
      <c r="BA76" s="58">
        <f t="shared" si="141"/>
        <v>14</v>
      </c>
      <c r="BB76" s="58">
        <f t="shared" si="141"/>
        <v>15</v>
      </c>
      <c r="BC76" s="58">
        <f t="shared" si="141"/>
        <v>14</v>
      </c>
      <c r="BD76" s="58">
        <f t="shared" si="141"/>
        <v>14</v>
      </c>
      <c r="BE76" s="29"/>
      <c r="BF76" s="29"/>
      <c r="BG76" s="29"/>
      <c r="BH76" s="31"/>
      <c r="BI76" s="32"/>
      <c r="BJ76" s="33"/>
      <c r="BK76" s="34"/>
      <c r="BL76" s="33"/>
      <c r="BM76" s="34"/>
      <c r="BN76" s="33"/>
      <c r="BO76" s="34"/>
      <c r="BP76" s="30"/>
      <c r="BQ76" s="28"/>
      <c r="BR76" s="29"/>
      <c r="BS76" s="36"/>
      <c r="BT76" s="37"/>
      <c r="BU76" s="58">
        <f>COUNT(BU53:BU75)</f>
        <v>16</v>
      </c>
      <c r="BV76" s="58">
        <f t="shared" ref="BV76:BX76" si="142">COUNT(BV53:BV75)</f>
        <v>16</v>
      </c>
      <c r="BW76" s="58">
        <f t="shared" si="142"/>
        <v>15</v>
      </c>
      <c r="BX76" s="58">
        <f t="shared" si="142"/>
        <v>14</v>
      </c>
      <c r="BY76" s="29"/>
      <c r="BZ76" s="29"/>
      <c r="CA76" s="29"/>
      <c r="CB76" s="31"/>
      <c r="CC76" s="32"/>
      <c r="CD76" s="33"/>
      <c r="CE76" s="34"/>
      <c r="CF76" s="33"/>
      <c r="CG76" s="34"/>
      <c r="CH76" s="33"/>
      <c r="CI76" s="34"/>
      <c r="CJ76" s="30"/>
      <c r="CK76" s="28"/>
      <c r="CL76" s="29"/>
      <c r="CM76" s="36"/>
      <c r="CN76" s="85"/>
      <c r="CO76" s="58">
        <f>COUNT(CO53:CO75)</f>
        <v>0</v>
      </c>
      <c r="CP76" s="58">
        <f t="shared" ref="CP76" si="143">COUNT(CP53:CP75)</f>
        <v>0</v>
      </c>
      <c r="CQ76" s="58">
        <f>COUNT(CQ53:CQ75)</f>
        <v>0</v>
      </c>
      <c r="CR76" s="58">
        <f t="shared" ref="CR76:CS76" si="144">COUNT(CR53:CR75)</f>
        <v>0</v>
      </c>
      <c r="CS76" s="58">
        <f t="shared" si="144"/>
        <v>0</v>
      </c>
      <c r="CT76" s="29"/>
      <c r="CU76" s="56"/>
      <c r="CV76" s="56"/>
      <c r="CW76" s="29"/>
      <c r="CX76" s="29"/>
      <c r="CY76" s="29"/>
      <c r="CZ76" s="31"/>
      <c r="DA76" s="32"/>
      <c r="DB76" s="33"/>
      <c r="DC76" s="34"/>
      <c r="DD76" s="33"/>
      <c r="DE76" s="34"/>
      <c r="DF76" s="33"/>
      <c r="DG76" s="34"/>
      <c r="DH76" s="30"/>
      <c r="DI76" s="28"/>
      <c r="DJ76" s="29"/>
      <c r="DK76" s="36"/>
      <c r="DL76" s="37"/>
      <c r="DM76" s="58">
        <f>COUNT(DM53:DM75)</f>
        <v>0</v>
      </c>
      <c r="DN76" s="58">
        <f t="shared" ref="DN76:DS76" si="145">COUNT(DN53:DN75)</f>
        <v>0</v>
      </c>
      <c r="DO76" s="58">
        <f t="shared" si="145"/>
        <v>0</v>
      </c>
      <c r="DP76" s="58">
        <f>COUNT(DP53:DP75)</f>
        <v>0</v>
      </c>
      <c r="DQ76" s="58">
        <f t="shared" si="145"/>
        <v>0</v>
      </c>
      <c r="DR76" s="58">
        <f t="shared" si="145"/>
        <v>0</v>
      </c>
      <c r="DS76" s="58">
        <f t="shared" si="145"/>
        <v>0</v>
      </c>
      <c r="DT76" s="83"/>
      <c r="DU76" s="29"/>
      <c r="DV76" s="29"/>
      <c r="DW76" s="29"/>
      <c r="DX76" s="31"/>
      <c r="DY76" s="32"/>
      <c r="DZ76" s="33"/>
      <c r="EA76" s="34"/>
      <c r="EB76" s="33"/>
      <c r="EC76" s="34"/>
      <c r="ED76" s="33"/>
      <c r="EE76" s="34"/>
      <c r="EF76" s="30"/>
      <c r="EG76" s="28"/>
      <c r="EH76" s="29"/>
      <c r="EI76" s="36"/>
      <c r="EJ76" s="37"/>
      <c r="EK76" s="58">
        <f>COUNT(EK53:EK74)</f>
        <v>0</v>
      </c>
      <c r="EL76" s="58">
        <f t="shared" ref="EL76:EN76" si="146">COUNT(EL53:EL74)</f>
        <v>0</v>
      </c>
      <c r="EM76" s="58">
        <f t="shared" si="146"/>
        <v>0</v>
      </c>
      <c r="EN76" s="58">
        <f t="shared" si="146"/>
        <v>0</v>
      </c>
      <c r="EO76" s="83"/>
      <c r="EP76" s="83"/>
      <c r="EQ76" s="83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29"/>
      <c r="FC76" s="29"/>
      <c r="FD76" s="31"/>
      <c r="FE76" s="32"/>
      <c r="FF76" s="33"/>
      <c r="FG76" s="34"/>
      <c r="FH76" s="33"/>
      <c r="FI76" s="34"/>
      <c r="FJ76" s="33"/>
      <c r="FK76" s="34"/>
      <c r="FL76" s="30"/>
      <c r="FR76">
        <f>SUM(FH35,FH77)</f>
        <v>33150</v>
      </c>
    </row>
    <row r="77" spans="1:174" ht="20.100000000000001" customHeight="1" x14ac:dyDescent="0.25">
      <c r="A77" s="16"/>
      <c r="B77" s="62"/>
      <c r="C77" s="16"/>
      <c r="D77" s="22"/>
      <c r="E77" s="59">
        <f>E76*50</f>
        <v>900</v>
      </c>
      <c r="F77" s="59">
        <f t="shared" ref="F77:H77" si="147">F76*50</f>
        <v>850</v>
      </c>
      <c r="G77" s="59">
        <f t="shared" si="147"/>
        <v>850</v>
      </c>
      <c r="H77" s="59">
        <f t="shared" si="147"/>
        <v>800</v>
      </c>
      <c r="I77" s="13"/>
      <c r="J77" s="13"/>
      <c r="K77" s="13"/>
      <c r="L77" s="35"/>
      <c r="M77" s="1"/>
      <c r="N77" s="22"/>
      <c r="O77" s="1"/>
      <c r="P77" s="22"/>
      <c r="Q77" s="1"/>
      <c r="R77" s="22"/>
      <c r="S77" s="1"/>
      <c r="T77" s="1"/>
      <c r="U77" s="16"/>
      <c r="V77" s="13"/>
      <c r="W77" s="16"/>
      <c r="X77" s="22"/>
      <c r="Y77" s="59">
        <f>Y76*50</f>
        <v>800</v>
      </c>
      <c r="Z77" s="59">
        <f t="shared" ref="Z77:AF77" si="148">Z76*50</f>
        <v>750</v>
      </c>
      <c r="AA77" s="59">
        <f t="shared" si="148"/>
        <v>700</v>
      </c>
      <c r="AB77" s="59">
        <f t="shared" si="148"/>
        <v>750</v>
      </c>
      <c r="AC77" s="59">
        <f t="shared" si="148"/>
        <v>750</v>
      </c>
      <c r="AD77" s="59">
        <f t="shared" si="148"/>
        <v>750</v>
      </c>
      <c r="AE77" s="59">
        <f t="shared" si="148"/>
        <v>750</v>
      </c>
      <c r="AF77" s="59">
        <f t="shared" si="148"/>
        <v>750</v>
      </c>
      <c r="AG77" s="13"/>
      <c r="AH77" s="13"/>
      <c r="AI77" s="13"/>
      <c r="AJ77" s="35"/>
      <c r="AK77" s="1"/>
      <c r="AL77" s="22"/>
      <c r="AM77" s="1"/>
      <c r="AN77" s="22"/>
      <c r="AO77" s="1"/>
      <c r="AP77" s="22"/>
      <c r="AQ77" s="1"/>
      <c r="AR77" s="1"/>
      <c r="AS77" s="16"/>
      <c r="AT77" s="13"/>
      <c r="AU77" s="16"/>
      <c r="AV77" s="22"/>
      <c r="AW77" s="59">
        <f>AW76*50</f>
        <v>700</v>
      </c>
      <c r="AX77" s="59">
        <f t="shared" ref="AX77:BD77" si="149">AX76*50</f>
        <v>700</v>
      </c>
      <c r="AY77" s="59">
        <f t="shared" si="149"/>
        <v>700</v>
      </c>
      <c r="AZ77" s="59">
        <f t="shared" si="149"/>
        <v>700</v>
      </c>
      <c r="BA77" s="59">
        <f t="shared" si="149"/>
        <v>700</v>
      </c>
      <c r="BB77" s="59">
        <f t="shared" si="149"/>
        <v>750</v>
      </c>
      <c r="BC77" s="59">
        <f t="shared" si="149"/>
        <v>700</v>
      </c>
      <c r="BD77" s="59">
        <f t="shared" si="149"/>
        <v>700</v>
      </c>
      <c r="BE77" s="13"/>
      <c r="BF77" s="13"/>
      <c r="BG77" s="13"/>
      <c r="BH77" s="35"/>
      <c r="BI77" s="1"/>
      <c r="BJ77" s="22"/>
      <c r="BK77" s="1"/>
      <c r="BL77" s="22"/>
      <c r="BM77" s="1"/>
      <c r="BN77" s="22"/>
      <c r="BO77" s="1"/>
      <c r="BP77" s="1"/>
      <c r="BQ77" s="16"/>
      <c r="BR77" s="13"/>
      <c r="BS77" s="16"/>
      <c r="BT77" s="22"/>
      <c r="BU77" s="59">
        <f>BU76*20</f>
        <v>320</v>
      </c>
      <c r="BV77" s="59">
        <f t="shared" ref="BV77:BX77" si="150">BV76*20</f>
        <v>320</v>
      </c>
      <c r="BW77" s="59">
        <f t="shared" si="150"/>
        <v>300</v>
      </c>
      <c r="BX77" s="59">
        <f t="shared" si="150"/>
        <v>280</v>
      </c>
      <c r="BY77" s="13"/>
      <c r="BZ77" s="13"/>
      <c r="CA77" s="13"/>
      <c r="CB77" s="35"/>
      <c r="CC77" s="1"/>
      <c r="CD77" s="22"/>
      <c r="CE77" s="1"/>
      <c r="CF77" s="22"/>
      <c r="CG77" s="1"/>
      <c r="CH77" s="22"/>
      <c r="CI77" s="1"/>
      <c r="CJ77" s="1"/>
      <c r="CK77" s="16"/>
      <c r="CL77" s="13"/>
      <c r="CM77" s="16"/>
      <c r="CN77" s="85"/>
      <c r="CO77" s="59">
        <f t="shared" ref="CO77:CR77" si="151">CO76*50</f>
        <v>0</v>
      </c>
      <c r="CP77" s="59">
        <f t="shared" si="151"/>
        <v>0</v>
      </c>
      <c r="CQ77" s="59">
        <f t="shared" si="151"/>
        <v>0</v>
      </c>
      <c r="CR77" s="59">
        <f t="shared" si="151"/>
        <v>0</v>
      </c>
      <c r="CS77" s="59">
        <f>CS76*50</f>
        <v>0</v>
      </c>
      <c r="CT77" s="13"/>
      <c r="CU77" s="55"/>
      <c r="CV77" s="55"/>
      <c r="CW77" s="13"/>
      <c r="CX77" s="13"/>
      <c r="CY77" s="13"/>
      <c r="CZ77" s="35"/>
      <c r="DA77" s="1"/>
      <c r="DB77" s="22"/>
      <c r="DC77" s="1"/>
      <c r="DD77" s="22"/>
      <c r="DE77" s="1"/>
      <c r="DF77" s="22"/>
      <c r="DG77" s="1"/>
      <c r="DH77" s="1"/>
      <c r="DI77" s="16"/>
      <c r="DJ77" s="13"/>
      <c r="DK77" s="16"/>
      <c r="DL77" s="22"/>
      <c r="DM77" s="59">
        <f t="shared" ref="DM77:DQ77" si="152">DM76*50</f>
        <v>0</v>
      </c>
      <c r="DN77" s="59">
        <f t="shared" si="152"/>
        <v>0</v>
      </c>
      <c r="DO77" s="59">
        <f t="shared" si="152"/>
        <v>0</v>
      </c>
      <c r="DP77" s="59">
        <f t="shared" si="152"/>
        <v>0</v>
      </c>
      <c r="DQ77" s="59">
        <f t="shared" si="152"/>
        <v>0</v>
      </c>
      <c r="DR77" s="59">
        <f>DR76*50</f>
        <v>0</v>
      </c>
      <c r="DS77" s="59">
        <f t="shared" ref="DS77" si="153">DS76*20</f>
        <v>0</v>
      </c>
      <c r="DT77" s="13"/>
      <c r="DU77" s="13"/>
      <c r="DV77" s="13"/>
      <c r="DW77" s="13"/>
      <c r="DX77" s="35"/>
      <c r="DY77" s="1"/>
      <c r="DZ77" s="22"/>
      <c r="EA77" s="1"/>
      <c r="EB77" s="22"/>
      <c r="EC77" s="1"/>
      <c r="ED77" s="22"/>
      <c r="EE77" s="1"/>
      <c r="EF77" s="1"/>
      <c r="EG77" s="16"/>
      <c r="EH77" s="13"/>
      <c r="EI77" s="16"/>
      <c r="EJ77" s="22"/>
      <c r="EK77" s="59">
        <f>EK76*50</f>
        <v>0</v>
      </c>
      <c r="EL77" s="59">
        <f t="shared" ref="EL77:EN77" si="154">EL76*50</f>
        <v>0</v>
      </c>
      <c r="EM77" s="59">
        <f t="shared" si="154"/>
        <v>0</v>
      </c>
      <c r="EN77" s="59">
        <f t="shared" si="154"/>
        <v>0</v>
      </c>
      <c r="EO77" s="84"/>
      <c r="EP77" s="84"/>
      <c r="EQ77" s="84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35"/>
      <c r="FE77" s="1"/>
      <c r="FF77" s="22"/>
      <c r="FG77" s="1"/>
      <c r="FH77" s="22">
        <f>SUM(FH53:FH74)</f>
        <v>18100</v>
      </c>
      <c r="FI77" s="1"/>
      <c r="FJ77" s="22"/>
      <c r="FK77" s="1"/>
      <c r="FL77" s="1"/>
      <c r="FN77" t="s">
        <v>62</v>
      </c>
      <c r="FO77" s="48">
        <f>SUM(FJ53:FJ75)</f>
        <v>670</v>
      </c>
      <c r="FR77" t="s">
        <v>203</v>
      </c>
    </row>
    <row r="78" spans="1:174" ht="20.100000000000001" customHeight="1" x14ac:dyDescent="0.25">
      <c r="A78" s="48"/>
      <c r="B78" s="23"/>
      <c r="C78" s="48"/>
      <c r="D78" s="26"/>
      <c r="E78" s="23"/>
      <c r="F78" s="23"/>
      <c r="G78" s="23"/>
      <c r="H78" s="23"/>
      <c r="I78" s="23"/>
      <c r="J78" s="23"/>
      <c r="K78" s="23"/>
      <c r="L78" s="25"/>
      <c r="N78" s="26"/>
      <c r="P78" s="26"/>
      <c r="R78" s="26"/>
      <c r="U78" s="48"/>
      <c r="V78" s="23"/>
      <c r="W78" s="48"/>
      <c r="X78" s="26"/>
      <c r="Y78" s="23"/>
      <c r="Z78" s="23"/>
      <c r="AA78" s="23"/>
      <c r="AB78" s="23"/>
      <c r="AC78" s="23"/>
      <c r="AD78" s="23"/>
      <c r="AG78" s="23"/>
      <c r="AH78" s="23"/>
      <c r="AI78" s="23"/>
      <c r="AJ78" s="25"/>
      <c r="AL78" s="26"/>
      <c r="AN78" s="26"/>
      <c r="AP78" s="26"/>
      <c r="AS78" s="48"/>
      <c r="AT78" s="23"/>
      <c r="AU78" s="48"/>
      <c r="AV78" s="26"/>
      <c r="AW78" s="23"/>
      <c r="AX78" s="23"/>
      <c r="AY78" s="23"/>
      <c r="AZ78" s="23"/>
      <c r="BA78" s="23"/>
      <c r="BB78" s="23"/>
      <c r="BE78" s="23"/>
      <c r="BF78" s="23"/>
      <c r="BG78" s="23"/>
      <c r="BH78" s="25"/>
      <c r="BJ78" s="26"/>
      <c r="BL78" s="26"/>
      <c r="BN78" s="26"/>
      <c r="BQ78" s="48"/>
      <c r="BR78" s="23"/>
      <c r="BS78" s="48"/>
      <c r="BT78" s="26"/>
      <c r="BU78" s="26"/>
      <c r="BV78" s="23"/>
      <c r="BW78" s="23"/>
      <c r="BX78" s="23"/>
      <c r="BY78" s="23"/>
      <c r="BZ78" s="23"/>
      <c r="CA78" s="23"/>
      <c r="CB78" s="25"/>
      <c r="CD78" s="26"/>
      <c r="CF78" s="26"/>
      <c r="CH78" s="26"/>
      <c r="CK78" s="48"/>
      <c r="CL78" s="23"/>
      <c r="CM78" s="48"/>
      <c r="CN78" s="85"/>
      <c r="CO78" s="23"/>
      <c r="CP78" s="23"/>
      <c r="CQ78" s="23"/>
      <c r="CR78" s="23"/>
      <c r="CS78" s="23"/>
      <c r="CT78" s="23"/>
      <c r="CW78" s="23"/>
      <c r="CX78" s="23"/>
      <c r="CY78" s="25"/>
      <c r="DA78" s="26"/>
      <c r="DC78" s="26"/>
      <c r="DE78" s="26"/>
      <c r="DH78" s="48"/>
      <c r="DI78" s="23"/>
      <c r="DJ78" s="48"/>
      <c r="DK78" s="26"/>
      <c r="DL78" s="23"/>
      <c r="DM78" s="23"/>
      <c r="DN78" s="23"/>
      <c r="DO78" s="23"/>
      <c r="DP78" s="23"/>
      <c r="DQ78" s="23"/>
      <c r="DT78" s="23"/>
      <c r="DU78" s="23"/>
      <c r="DV78" s="23"/>
      <c r="DW78" s="25"/>
      <c r="DY78" s="26"/>
      <c r="EA78" s="26"/>
      <c r="EC78" s="26"/>
    </row>
    <row r="79" spans="1:174" ht="20.100000000000001" customHeight="1" x14ac:dyDescent="0.25">
      <c r="A79" s="48"/>
      <c r="B79" s="23"/>
      <c r="C79" s="48"/>
      <c r="D79" s="26">
        <f>SUM(H79+G37)</f>
        <v>129</v>
      </c>
      <c r="E79" s="23"/>
      <c r="F79" s="23"/>
      <c r="G79" s="23"/>
      <c r="H79" s="23">
        <f>SUM(E76:H76)</f>
        <v>68</v>
      </c>
      <c r="I79" s="23"/>
      <c r="J79" s="23"/>
      <c r="K79" s="23"/>
      <c r="L79" s="25"/>
      <c r="N79" s="26"/>
      <c r="P79" s="26"/>
      <c r="R79" s="26"/>
      <c r="U79" s="48"/>
      <c r="V79" s="23"/>
      <c r="W79" s="48"/>
      <c r="X79" s="26">
        <f>SUM(AF79+AF37)</f>
        <v>243</v>
      </c>
      <c r="Y79" s="23"/>
      <c r="Z79" s="23"/>
      <c r="AA79" s="23"/>
      <c r="AB79" s="23"/>
      <c r="AC79" s="23"/>
      <c r="AD79" s="23"/>
      <c r="AF79">
        <f>SUM(Y76:AF76)</f>
        <v>120</v>
      </c>
      <c r="AG79" s="23"/>
      <c r="AH79" s="23"/>
      <c r="AI79" s="23"/>
      <c r="AJ79" s="25"/>
      <c r="AL79" s="26"/>
      <c r="AN79" s="26"/>
      <c r="AP79" s="26"/>
      <c r="AS79" s="48"/>
      <c r="AT79" s="23"/>
      <c r="AU79" s="48"/>
      <c r="AV79" s="26">
        <f>SUM(BB79+BD37)</f>
        <v>230</v>
      </c>
      <c r="AW79" s="23"/>
      <c r="AX79" s="23"/>
      <c r="AY79" s="23"/>
      <c r="AZ79" s="23"/>
      <c r="BA79" s="23"/>
      <c r="BB79" s="23">
        <f>SUM(AW76:BD76)</f>
        <v>113</v>
      </c>
      <c r="BE79" s="23"/>
      <c r="BF79" s="23"/>
      <c r="BG79" s="23"/>
      <c r="BH79" s="25"/>
      <c r="BJ79" s="26"/>
      <c r="BL79" s="26"/>
      <c r="BN79" s="26"/>
      <c r="BQ79" s="48"/>
      <c r="BR79" s="23"/>
      <c r="BS79" s="48"/>
      <c r="BT79" s="26">
        <f>SUM(BW79+BW37)</f>
        <v>120</v>
      </c>
      <c r="BU79" s="26"/>
      <c r="BV79" s="23"/>
      <c r="BW79" s="23">
        <f>SUM(BU76:BX76)</f>
        <v>61</v>
      </c>
      <c r="BX79" s="23"/>
      <c r="BY79" s="23"/>
      <c r="BZ79" s="23"/>
      <c r="CA79" s="23"/>
      <c r="CB79" s="25"/>
      <c r="CD79" s="26"/>
      <c r="CF79" s="26"/>
      <c r="CH79" s="26"/>
      <c r="CK79" s="48"/>
      <c r="CL79" s="23"/>
      <c r="CM79" s="48"/>
      <c r="CN79" s="26"/>
      <c r="CO79" s="23"/>
      <c r="CP79" s="23"/>
      <c r="CQ79" s="23"/>
      <c r="CR79" s="23"/>
      <c r="CS79" s="23"/>
      <c r="CT79" s="23"/>
      <c r="CW79" s="23"/>
      <c r="CX79" s="23"/>
      <c r="CY79" s="25"/>
      <c r="DA79" s="26"/>
      <c r="DC79" s="26"/>
      <c r="DE79" s="26"/>
      <c r="DH79" s="48"/>
      <c r="DI79" s="23"/>
      <c r="DJ79" s="48"/>
      <c r="DK79" s="26"/>
      <c r="DL79" s="23"/>
      <c r="DM79" s="23"/>
      <c r="DN79" s="23"/>
      <c r="DO79" s="23"/>
      <c r="DP79" s="23"/>
      <c r="DQ79" s="23"/>
      <c r="DT79" s="23"/>
      <c r="DU79" s="23"/>
      <c r="DV79" s="23"/>
      <c r="DW79" s="25"/>
      <c r="DY79" s="26"/>
      <c r="EA79" s="26"/>
      <c r="EC79" s="26"/>
    </row>
    <row r="80" spans="1:174" ht="20.100000000000001" customHeight="1" x14ac:dyDescent="0.25">
      <c r="A80" s="48"/>
      <c r="B80" s="23"/>
      <c r="C80" s="48"/>
      <c r="D80" s="26">
        <f>D79*50</f>
        <v>6450</v>
      </c>
      <c r="E80" s="23"/>
      <c r="F80" s="23"/>
      <c r="G80" s="23"/>
      <c r="H80" s="23">
        <f>H79*50</f>
        <v>3400</v>
      </c>
      <c r="I80" s="23"/>
      <c r="J80" s="23"/>
      <c r="K80" s="23"/>
      <c r="L80" s="25"/>
      <c r="N80" s="26"/>
      <c r="P80" s="26"/>
      <c r="R80" s="26"/>
      <c r="U80" s="48"/>
      <c r="V80" s="23"/>
      <c r="W80" s="48"/>
      <c r="X80" s="26">
        <f>X79*50</f>
        <v>12150</v>
      </c>
      <c r="Y80" s="23"/>
      <c r="Z80" s="23"/>
      <c r="AA80" s="23"/>
      <c r="AB80" s="23"/>
      <c r="AC80" s="23"/>
      <c r="AD80" s="23"/>
      <c r="AF80">
        <f>AF79*50</f>
        <v>6000</v>
      </c>
      <c r="AG80" s="23"/>
      <c r="AH80" s="23"/>
      <c r="AI80" s="23"/>
      <c r="AJ80" s="25"/>
      <c r="AL80" s="26"/>
      <c r="AN80" s="26"/>
      <c r="AP80" s="26"/>
      <c r="AS80" s="48"/>
      <c r="AT80" s="23"/>
      <c r="AU80" s="48"/>
      <c r="AV80" s="26">
        <f>AV79*50</f>
        <v>11500</v>
      </c>
      <c r="AW80" s="23"/>
      <c r="AX80" s="23"/>
      <c r="AY80" s="23"/>
      <c r="AZ80" s="23"/>
      <c r="BA80" s="23"/>
      <c r="BB80" s="23">
        <f>BB79*50</f>
        <v>5650</v>
      </c>
      <c r="BE80" s="23"/>
      <c r="BF80" s="23"/>
      <c r="BG80" s="23"/>
      <c r="BH80" s="25"/>
      <c r="BJ80" s="26"/>
      <c r="BL80" s="26"/>
      <c r="BN80" s="26"/>
      <c r="BQ80" s="48"/>
      <c r="BR80" s="23"/>
      <c r="BS80" s="48"/>
      <c r="BT80" s="26">
        <f>BT79*50</f>
        <v>6000</v>
      </c>
      <c r="BU80" s="26"/>
      <c r="BV80" s="23"/>
      <c r="BW80" s="23">
        <f>BW79*50</f>
        <v>3050</v>
      </c>
      <c r="BX80" s="23"/>
      <c r="BY80" s="23"/>
      <c r="BZ80" s="23"/>
      <c r="CA80" s="23"/>
      <c r="CB80" s="25"/>
      <c r="CD80" s="26"/>
      <c r="CF80" s="26"/>
      <c r="CH80" s="26"/>
      <c r="CK80" s="48"/>
      <c r="CL80" s="23"/>
      <c r="CM80" s="48"/>
      <c r="CN80" s="26"/>
      <c r="CO80" s="23"/>
      <c r="CP80" s="23"/>
      <c r="CQ80" s="23"/>
      <c r="CR80" s="23"/>
      <c r="CS80" s="23"/>
      <c r="CT80" s="23"/>
      <c r="CW80" s="23"/>
      <c r="CX80" s="23"/>
      <c r="CY80" s="25"/>
      <c r="DA80" s="26"/>
      <c r="DC80" s="26"/>
      <c r="DE80" s="26"/>
      <c r="DH80" s="48"/>
      <c r="DI80" s="23"/>
      <c r="DJ80" s="48"/>
      <c r="DK80" s="26"/>
      <c r="DL80" s="23"/>
      <c r="DM80" s="23"/>
      <c r="DN80" s="23"/>
      <c r="DO80" s="23"/>
      <c r="DP80" s="23"/>
      <c r="DQ80" s="23"/>
      <c r="DT80" s="23"/>
      <c r="DU80" s="23"/>
      <c r="DV80" s="23"/>
      <c r="DW80" s="25"/>
      <c r="DY80" s="26"/>
      <c r="EA80" s="26"/>
      <c r="EC80" s="26"/>
    </row>
    <row r="81" spans="1:166" ht="20.100000000000001" customHeight="1" x14ac:dyDescent="0.2"/>
    <row r="82" spans="1:166" ht="20.100000000000001" customHeight="1" x14ac:dyDescent="0.25">
      <c r="D82" s="166"/>
      <c r="E82" s="166"/>
      <c r="F82" s="166"/>
      <c r="G82" s="166"/>
      <c r="H82" s="166"/>
      <c r="I82" s="166"/>
      <c r="J82" s="166"/>
      <c r="X82" s="166"/>
      <c r="Y82" s="166"/>
      <c r="Z82" s="166"/>
      <c r="AA82" s="166"/>
      <c r="AB82" s="166"/>
      <c r="AC82" s="166"/>
      <c r="AD82" s="166"/>
      <c r="AE82" s="166"/>
      <c r="AF82" s="166"/>
      <c r="AG82" s="166"/>
      <c r="AH82" s="166"/>
      <c r="AV82" s="166"/>
      <c r="AW82" s="166"/>
      <c r="AX82" s="166"/>
      <c r="AY82" s="166"/>
      <c r="AZ82" s="166"/>
      <c r="BA82" s="166"/>
      <c r="BB82" s="166"/>
      <c r="BC82" s="166"/>
      <c r="BD82" s="166"/>
      <c r="BE82" s="166"/>
      <c r="BF82" s="166"/>
      <c r="BT82" s="166"/>
      <c r="BU82" s="166"/>
      <c r="BV82" s="166"/>
      <c r="BW82" s="166"/>
      <c r="BX82" s="166"/>
      <c r="BY82" s="166"/>
      <c r="BZ82" s="166"/>
      <c r="CN82" s="166"/>
      <c r="CO82" s="166"/>
      <c r="CP82" s="166"/>
      <c r="CQ82" s="166"/>
      <c r="CR82" s="166"/>
      <c r="CS82" s="166"/>
      <c r="CT82" s="166"/>
      <c r="CU82" s="166"/>
      <c r="CV82" s="166"/>
      <c r="CW82" s="166"/>
      <c r="CX82" s="166"/>
      <c r="DL82" s="166"/>
      <c r="DM82" s="166"/>
      <c r="DN82" s="166"/>
      <c r="DO82" s="166"/>
      <c r="DP82" s="166"/>
      <c r="DQ82" s="166"/>
      <c r="DR82" s="166"/>
      <c r="DS82" s="166"/>
      <c r="DT82" s="166"/>
      <c r="DU82" s="166"/>
      <c r="DV82" s="166"/>
      <c r="EJ82" s="166"/>
      <c r="EK82" s="166"/>
      <c r="EL82" s="166"/>
      <c r="EM82" s="166"/>
      <c r="EN82" s="166"/>
      <c r="EO82" s="166"/>
      <c r="EP82" s="166"/>
      <c r="EQ82" s="166"/>
      <c r="ER82" s="166"/>
      <c r="ES82" s="166"/>
      <c r="ET82" s="166"/>
      <c r="EU82" s="166"/>
      <c r="EV82" s="166"/>
      <c r="EW82" s="166"/>
      <c r="EX82" s="166"/>
      <c r="EY82" s="166"/>
      <c r="EZ82" s="166"/>
      <c r="FA82" s="166"/>
      <c r="FB82" s="166"/>
    </row>
    <row r="83" spans="1:166" ht="18.600000000000001" customHeight="1" x14ac:dyDescent="0.2">
      <c r="M83" s="167"/>
      <c r="N83" s="167"/>
      <c r="O83" s="167"/>
      <c r="P83" s="167"/>
      <c r="Q83" s="167"/>
      <c r="R83" s="167"/>
      <c r="AK83" s="167"/>
      <c r="AL83" s="167"/>
      <c r="AM83" s="167"/>
      <c r="AN83" s="167"/>
      <c r="AO83" s="167"/>
      <c r="AP83" s="167"/>
      <c r="BI83" s="167"/>
      <c r="BJ83" s="167"/>
      <c r="BK83" s="167"/>
      <c r="BL83" s="167"/>
      <c r="BM83" s="167"/>
      <c r="BN83" s="167"/>
      <c r="CC83" s="167"/>
      <c r="CD83" s="167"/>
      <c r="CE83" s="167"/>
      <c r="CF83" s="167"/>
      <c r="CG83" s="167"/>
      <c r="CH83" s="167"/>
      <c r="DA83" s="167"/>
      <c r="DB83" s="167"/>
      <c r="DC83" s="167"/>
      <c r="DD83" s="167"/>
      <c r="DE83" s="167"/>
      <c r="DF83" s="167"/>
      <c r="DY83" s="167"/>
      <c r="DZ83" s="167"/>
      <c r="EA83" s="167"/>
      <c r="EB83" s="167"/>
      <c r="EC83" s="167"/>
      <c r="ED83" s="167"/>
      <c r="FE83" s="167"/>
      <c r="FF83" s="167"/>
      <c r="FG83" s="167"/>
      <c r="FH83" s="167"/>
      <c r="FI83" s="167"/>
      <c r="FJ83" s="167"/>
    </row>
    <row r="84" spans="1:166" ht="21.9" customHeight="1" x14ac:dyDescent="0.2">
      <c r="D84" s="168"/>
      <c r="E84" s="168"/>
      <c r="F84" s="168"/>
      <c r="G84" s="168"/>
      <c r="H84" s="168"/>
      <c r="I84" s="169"/>
      <c r="J84" s="169"/>
      <c r="K84" s="169"/>
      <c r="L84" s="169"/>
      <c r="M84" s="169"/>
      <c r="N84" s="169"/>
      <c r="O84" s="54"/>
      <c r="P84" s="170"/>
      <c r="Q84" s="170"/>
      <c r="R84" s="170"/>
      <c r="X84" s="168"/>
      <c r="Y84" s="168"/>
      <c r="Z84" s="168"/>
      <c r="AA84" s="168"/>
      <c r="AB84" s="168"/>
      <c r="AC84" s="168"/>
      <c r="AD84" s="168"/>
      <c r="AE84" s="168"/>
      <c r="AF84" s="40"/>
      <c r="AG84" s="169"/>
      <c r="AH84" s="169"/>
      <c r="AI84" s="169"/>
      <c r="AJ84" s="169"/>
      <c r="AK84" s="169"/>
      <c r="AL84" s="169"/>
      <c r="AM84" s="54"/>
      <c r="AN84" s="170"/>
      <c r="AO84" s="170"/>
      <c r="AP84" s="170"/>
      <c r="AV84" s="168"/>
      <c r="AW84" s="168"/>
      <c r="AX84" s="168"/>
      <c r="AY84" s="168"/>
      <c r="AZ84" s="168"/>
      <c r="BA84" s="168"/>
      <c r="BB84" s="168"/>
      <c r="BC84" s="168"/>
      <c r="BD84" s="40"/>
      <c r="BE84" s="169"/>
      <c r="BF84" s="169"/>
      <c r="BG84" s="169"/>
      <c r="BH84" s="169"/>
      <c r="BI84" s="169"/>
      <c r="BJ84" s="169"/>
      <c r="BK84" s="54"/>
      <c r="BL84" s="170"/>
      <c r="BM84" s="170"/>
      <c r="BN84" s="170"/>
      <c r="BT84" s="168"/>
      <c r="BU84" s="168"/>
      <c r="BV84" s="168"/>
      <c r="BW84" s="168"/>
      <c r="BX84" s="168"/>
      <c r="BY84" s="169"/>
      <c r="BZ84" s="169"/>
      <c r="CA84" s="169"/>
      <c r="CB84" s="169"/>
      <c r="CC84" s="169"/>
      <c r="CD84" s="169"/>
      <c r="CE84" s="54"/>
      <c r="CF84" s="170"/>
      <c r="CG84" s="170"/>
      <c r="CH84" s="170"/>
      <c r="CN84" s="168"/>
      <c r="CO84" s="168"/>
      <c r="CP84" s="168"/>
      <c r="CQ84" s="168"/>
      <c r="CR84" s="168"/>
      <c r="CS84" s="168"/>
      <c r="CT84" s="168"/>
      <c r="CU84" s="168"/>
      <c r="CV84" s="168"/>
      <c r="CW84" s="169"/>
      <c r="CX84" s="169"/>
      <c r="CY84" s="169"/>
      <c r="CZ84" s="169"/>
      <c r="DA84" s="169"/>
      <c r="DB84" s="169"/>
      <c r="DC84" s="54"/>
      <c r="DD84" s="170"/>
      <c r="DE84" s="170"/>
      <c r="DF84" s="170"/>
      <c r="DL84" s="168"/>
      <c r="DM84" s="168"/>
      <c r="DN84" s="168"/>
      <c r="DO84" s="168"/>
      <c r="DP84" s="168"/>
      <c r="DQ84" s="168"/>
      <c r="DR84" s="168"/>
      <c r="DS84" s="168"/>
      <c r="DU84" s="169"/>
      <c r="DV84" s="169"/>
      <c r="DW84" s="169"/>
      <c r="DX84" s="169"/>
      <c r="DY84" s="169"/>
      <c r="DZ84" s="169"/>
      <c r="EA84" s="54"/>
      <c r="EB84" s="170"/>
      <c r="EC84" s="170"/>
      <c r="ED84" s="170"/>
      <c r="EJ84" s="168"/>
      <c r="EK84" s="168"/>
      <c r="EL84" s="168"/>
      <c r="EM84" s="168"/>
      <c r="EN84" s="168"/>
      <c r="EO84" s="168"/>
      <c r="EP84" s="168"/>
      <c r="EQ84" s="168"/>
      <c r="ER84" s="168"/>
      <c r="ES84" s="40"/>
      <c r="ET84" s="40"/>
      <c r="EU84" s="40"/>
      <c r="EV84" s="40"/>
      <c r="EW84" s="40"/>
      <c r="EX84" s="40"/>
      <c r="EY84" s="40"/>
      <c r="EZ84" s="40"/>
      <c r="FA84" s="169"/>
      <c r="FB84" s="169"/>
      <c r="FC84" s="169"/>
      <c r="FD84" s="169"/>
      <c r="FE84" s="169"/>
      <c r="FF84" s="169"/>
      <c r="FG84" s="54"/>
      <c r="FH84" s="170"/>
      <c r="FI84" s="170"/>
      <c r="FJ84" s="170"/>
    </row>
    <row r="85" spans="1:166" ht="21.75" customHeight="1" x14ac:dyDescent="0.2">
      <c r="A85" s="36"/>
    </row>
    <row r="86" spans="1:166" x14ac:dyDescent="0.2">
      <c r="A86" s="76"/>
    </row>
    <row r="87" spans="1:166" ht="10.5" customHeight="1" x14ac:dyDescent="0.2">
      <c r="A87" s="48"/>
    </row>
    <row r="88" spans="1:166" ht="24" customHeight="1" x14ac:dyDescent="0.25">
      <c r="A88" s="48"/>
      <c r="B88" s="23"/>
      <c r="C88" s="48"/>
      <c r="D88" s="26"/>
      <c r="E88" s="23"/>
      <c r="F88" s="23"/>
      <c r="G88" s="23"/>
      <c r="H88" s="23"/>
      <c r="I88" s="23"/>
      <c r="J88" s="23"/>
      <c r="K88" s="23"/>
      <c r="L88" s="25"/>
      <c r="N88" s="26"/>
      <c r="P88" s="26"/>
      <c r="R88" s="26"/>
      <c r="U88" s="48"/>
      <c r="V88" s="23"/>
      <c r="W88" s="48"/>
      <c r="X88" s="26"/>
      <c r="Y88" s="23"/>
      <c r="Z88" s="23"/>
      <c r="AA88" s="23"/>
      <c r="AB88" s="23"/>
      <c r="AC88" s="23"/>
      <c r="AD88" s="23"/>
      <c r="AG88" s="23"/>
      <c r="AH88" s="23"/>
      <c r="AI88" s="23"/>
      <c r="AJ88" s="25"/>
      <c r="AL88" s="26"/>
      <c r="AN88" s="26"/>
      <c r="AP88" s="26"/>
      <c r="AS88" s="48"/>
      <c r="AT88" s="23"/>
      <c r="AU88" s="48"/>
      <c r="AV88" s="26"/>
      <c r="AW88" s="23"/>
      <c r="AX88" s="23"/>
      <c r="AY88" s="23"/>
      <c r="AZ88" s="23"/>
      <c r="BA88" s="23"/>
      <c r="BB88" s="23"/>
      <c r="BE88" s="23"/>
      <c r="BF88" s="23"/>
      <c r="BG88" s="23"/>
      <c r="BH88" s="25"/>
      <c r="BJ88" s="26"/>
      <c r="BL88" s="26"/>
      <c r="BN88" s="26"/>
      <c r="BQ88" s="48"/>
      <c r="BR88" s="23"/>
      <c r="BS88" s="48"/>
      <c r="BT88" s="26"/>
      <c r="BU88" s="26"/>
      <c r="BV88" s="23"/>
      <c r="BW88" s="23"/>
      <c r="BX88" s="23"/>
      <c r="BY88" s="23"/>
      <c r="BZ88" s="23"/>
      <c r="CA88" s="23"/>
      <c r="CB88" s="25"/>
      <c r="CD88" s="26"/>
      <c r="CF88" s="26"/>
      <c r="CH88" s="26"/>
      <c r="CK88" s="48"/>
      <c r="CL88" s="23"/>
      <c r="CM88" s="48"/>
      <c r="CN88" s="26"/>
      <c r="CO88" s="23"/>
      <c r="CP88" s="23"/>
      <c r="CQ88" s="23"/>
      <c r="CR88" s="23"/>
      <c r="CS88" s="23"/>
      <c r="CT88" s="23"/>
      <c r="CW88" s="23"/>
      <c r="CX88" s="23"/>
      <c r="CY88" s="25"/>
      <c r="DA88" s="26"/>
      <c r="DC88" s="26"/>
      <c r="DE88" s="26"/>
      <c r="DH88" s="48"/>
      <c r="DI88" s="23"/>
      <c r="DJ88" s="48"/>
      <c r="DK88" s="26"/>
      <c r="DL88" s="23"/>
      <c r="DM88" s="23"/>
      <c r="DN88" s="23"/>
      <c r="DO88" s="23"/>
      <c r="DP88" s="23"/>
      <c r="DQ88" s="23"/>
      <c r="DT88" s="23"/>
      <c r="DU88" s="23"/>
      <c r="DV88" s="23"/>
      <c r="DW88" s="25"/>
      <c r="DY88" s="26"/>
      <c r="EA88" s="26"/>
      <c r="EC88" s="26"/>
    </row>
    <row r="89" spans="1:166" ht="13.5" customHeight="1" x14ac:dyDescent="0.25">
      <c r="A89" s="48"/>
      <c r="B89" s="23"/>
      <c r="C89" s="48"/>
      <c r="D89" s="26"/>
      <c r="E89" s="23"/>
      <c r="F89" s="23"/>
      <c r="G89" s="23"/>
      <c r="H89" s="23"/>
      <c r="I89" s="23"/>
      <c r="J89" s="23"/>
      <c r="K89" s="23"/>
      <c r="L89" s="25"/>
      <c r="N89" s="26"/>
      <c r="P89" s="26"/>
      <c r="R89" s="26"/>
      <c r="U89" s="48"/>
      <c r="V89" s="23"/>
      <c r="W89" s="48"/>
      <c r="X89" s="26"/>
      <c r="Y89" s="23"/>
      <c r="Z89" s="23"/>
      <c r="AA89" s="23"/>
      <c r="AB89" s="23"/>
      <c r="AC89" s="23"/>
      <c r="AD89" s="23"/>
      <c r="AG89" s="23"/>
      <c r="AH89" s="23"/>
      <c r="AI89" s="23"/>
      <c r="AJ89" s="25"/>
      <c r="AL89" s="26"/>
      <c r="AN89" s="26"/>
      <c r="AP89" s="26"/>
      <c r="AS89" s="48"/>
      <c r="AT89" s="23"/>
      <c r="AU89" s="48"/>
      <c r="AV89" s="26"/>
      <c r="AW89" s="23"/>
      <c r="AX89" s="23"/>
      <c r="AY89" s="23"/>
      <c r="AZ89" s="23"/>
      <c r="BA89" s="23"/>
      <c r="BB89" s="23"/>
      <c r="BE89" s="23"/>
      <c r="BF89" s="23"/>
      <c r="BG89" s="23"/>
      <c r="BH89" s="25"/>
      <c r="BJ89" s="26"/>
      <c r="BL89" s="26"/>
      <c r="BN89" s="26"/>
      <c r="BQ89" s="48"/>
      <c r="BR89" s="23"/>
      <c r="BS89" s="48"/>
      <c r="BT89" s="26"/>
      <c r="BU89" s="26"/>
      <c r="BV89" s="23"/>
      <c r="BW89" s="23"/>
      <c r="BX89" s="23"/>
      <c r="BY89" s="23"/>
      <c r="BZ89" s="23"/>
      <c r="CA89" s="23"/>
      <c r="CB89" s="25"/>
      <c r="CD89" s="26"/>
      <c r="CF89" s="26"/>
      <c r="CH89" s="26"/>
      <c r="CK89" s="48"/>
      <c r="CL89" s="23"/>
      <c r="CM89" s="48"/>
      <c r="CN89" s="26"/>
      <c r="CO89" s="23"/>
      <c r="CP89" s="23"/>
      <c r="CQ89" s="23"/>
      <c r="CR89" s="23"/>
      <c r="CS89" s="23"/>
      <c r="CT89" s="23"/>
      <c r="CW89" s="23"/>
      <c r="CX89" s="23"/>
      <c r="CY89" s="25"/>
      <c r="DA89" s="26"/>
      <c r="DC89" s="26"/>
      <c r="DE89" s="26"/>
      <c r="DH89" s="48"/>
      <c r="DI89" s="23"/>
      <c r="DJ89" s="48"/>
      <c r="DK89" s="26"/>
      <c r="DL89" s="23"/>
      <c r="DM89" s="23"/>
      <c r="DN89" s="23"/>
      <c r="DO89" s="23"/>
      <c r="DP89" s="23"/>
      <c r="DQ89" s="23"/>
      <c r="DT89" s="23"/>
      <c r="DU89" s="23"/>
      <c r="DV89" s="23"/>
      <c r="DW89" s="25"/>
      <c r="DY89" s="26"/>
      <c r="EA89" s="26"/>
      <c r="EC89" s="26"/>
    </row>
    <row r="90" spans="1:166" ht="44.25" customHeight="1" x14ac:dyDescent="0.25">
      <c r="A90" s="48"/>
      <c r="B90" s="23"/>
      <c r="C90" s="48"/>
      <c r="D90" s="26"/>
      <c r="E90" s="23"/>
      <c r="F90" s="23"/>
      <c r="G90" s="23"/>
      <c r="H90" s="23"/>
      <c r="I90" s="23"/>
      <c r="J90" s="23"/>
      <c r="K90" s="23"/>
      <c r="L90" s="25"/>
      <c r="N90" s="26"/>
      <c r="P90" s="26"/>
      <c r="R90" s="26"/>
      <c r="U90" s="48"/>
      <c r="V90" s="23"/>
      <c r="W90" s="48"/>
      <c r="X90" s="26"/>
      <c r="Y90" s="23"/>
      <c r="Z90" s="23"/>
      <c r="AA90" s="23"/>
      <c r="AB90" s="23"/>
      <c r="AC90" s="23"/>
      <c r="AD90" s="23"/>
      <c r="AG90" s="23"/>
      <c r="AH90" s="23"/>
      <c r="AI90" s="23"/>
      <c r="AJ90" s="25"/>
      <c r="AL90" s="26"/>
      <c r="AN90" s="26"/>
      <c r="AP90" s="26"/>
      <c r="AS90" s="48"/>
      <c r="AT90" s="23"/>
      <c r="AU90" s="48"/>
      <c r="AV90" s="26"/>
      <c r="AW90" s="23"/>
      <c r="AX90" s="23"/>
      <c r="AY90" s="23"/>
      <c r="AZ90" s="23"/>
      <c r="BA90" s="23"/>
      <c r="BB90" s="23"/>
      <c r="BE90" s="23"/>
      <c r="BF90" s="23"/>
      <c r="BG90" s="23"/>
      <c r="BH90" s="25"/>
      <c r="BJ90" s="26"/>
      <c r="BL90" s="26"/>
      <c r="BN90" s="26"/>
      <c r="BQ90" s="48"/>
      <c r="BR90" s="23"/>
      <c r="BS90" s="48"/>
      <c r="BT90" s="26"/>
      <c r="BU90" s="26"/>
      <c r="BV90" s="23"/>
      <c r="BW90" s="23"/>
      <c r="BX90" s="23"/>
      <c r="BY90" s="23"/>
      <c r="BZ90" s="23"/>
      <c r="CA90" s="23"/>
      <c r="CB90" s="25"/>
      <c r="CD90" s="26"/>
      <c r="CF90" s="26"/>
      <c r="CH90" s="26"/>
      <c r="CK90" s="48"/>
      <c r="CL90" s="23"/>
      <c r="CM90" s="48"/>
      <c r="CN90" s="26"/>
      <c r="CO90" s="23"/>
      <c r="CP90" s="23"/>
      <c r="CQ90" s="23"/>
      <c r="CR90" s="23"/>
      <c r="CS90" s="23"/>
      <c r="CT90" s="23"/>
      <c r="CW90" s="23"/>
      <c r="CX90" s="23"/>
      <c r="CY90" s="25"/>
      <c r="DA90" s="26"/>
      <c r="DC90" s="26"/>
      <c r="DE90" s="26"/>
      <c r="DH90" s="48"/>
      <c r="DI90" s="23"/>
      <c r="DJ90" s="48"/>
      <c r="DK90" s="26"/>
      <c r="DL90" s="23"/>
      <c r="DM90" s="23"/>
      <c r="DN90" s="23"/>
      <c r="DO90" s="23"/>
      <c r="DP90" s="23"/>
      <c r="DQ90" s="23"/>
      <c r="DT90" s="23"/>
      <c r="DU90" s="23"/>
      <c r="DV90" s="23"/>
      <c r="DW90" s="25"/>
      <c r="DY90" s="26"/>
      <c r="EA90" s="26"/>
      <c r="EC90" s="26"/>
    </row>
    <row r="91" spans="1:166" ht="9" customHeight="1" x14ac:dyDescent="0.25">
      <c r="A91" s="48"/>
      <c r="B91" s="23"/>
      <c r="C91" s="48"/>
      <c r="D91" s="24"/>
      <c r="E91" s="23"/>
      <c r="F91" s="23"/>
      <c r="G91" s="23"/>
      <c r="H91" s="23"/>
      <c r="I91" s="23"/>
      <c r="J91" s="23"/>
      <c r="K91" s="23"/>
      <c r="L91" s="25"/>
      <c r="N91" s="26"/>
      <c r="P91" s="26"/>
      <c r="R91" s="26"/>
      <c r="U91" s="48"/>
      <c r="V91" s="23"/>
      <c r="W91" s="48"/>
      <c r="X91" s="24"/>
      <c r="Y91" s="23"/>
      <c r="Z91" s="23"/>
      <c r="AA91" s="23"/>
      <c r="AB91" s="23"/>
      <c r="AC91" s="23"/>
      <c r="AD91" s="23"/>
      <c r="AG91" s="23"/>
      <c r="AH91" s="23"/>
      <c r="AI91" s="23"/>
      <c r="AJ91" s="25"/>
      <c r="AL91" s="26"/>
      <c r="AN91" s="26"/>
      <c r="AP91" s="26"/>
      <c r="AS91" s="48"/>
      <c r="AT91" s="23"/>
      <c r="AU91" s="48"/>
      <c r="AV91" s="24"/>
      <c r="AW91" s="23"/>
      <c r="AX91" s="23"/>
      <c r="AY91" s="23"/>
      <c r="AZ91" s="23"/>
      <c r="BA91" s="23"/>
      <c r="BB91" s="23"/>
      <c r="BE91" s="23"/>
      <c r="BF91" s="23"/>
      <c r="BG91" s="23"/>
      <c r="BH91" s="25"/>
      <c r="BJ91" s="26"/>
      <c r="BL91" s="26"/>
      <c r="BN91" s="26"/>
      <c r="BQ91" s="48"/>
      <c r="BR91" s="23"/>
      <c r="BS91" s="48"/>
      <c r="BT91" s="24"/>
      <c r="BU91" s="24"/>
      <c r="BV91" s="23"/>
      <c r="BW91" s="23"/>
      <c r="BX91" s="23"/>
      <c r="BY91" s="23"/>
      <c r="BZ91" s="23"/>
      <c r="CA91" s="23"/>
      <c r="CB91" s="25"/>
      <c r="CD91" s="26"/>
      <c r="CF91" s="26"/>
      <c r="CH91" s="26"/>
      <c r="CK91" s="48"/>
      <c r="CL91" s="23"/>
      <c r="CM91" s="48"/>
      <c r="CN91" s="24"/>
      <c r="CO91" s="23"/>
      <c r="CP91" s="23"/>
      <c r="CQ91" s="23"/>
      <c r="CR91" s="23"/>
      <c r="CS91" s="23"/>
      <c r="CT91" s="23"/>
      <c r="CW91" s="23"/>
      <c r="CX91" s="23"/>
      <c r="CY91" s="25"/>
      <c r="DA91" s="26"/>
      <c r="DC91" s="26"/>
      <c r="DE91" s="26"/>
      <c r="DH91" s="48"/>
      <c r="DI91" s="23"/>
      <c r="DJ91" s="48"/>
      <c r="DK91" s="24"/>
      <c r="DL91" s="23"/>
      <c r="DM91" s="23"/>
      <c r="DN91" s="23"/>
      <c r="DO91" s="23"/>
      <c r="DP91" s="23"/>
      <c r="DQ91" s="23"/>
      <c r="DT91" s="23"/>
      <c r="DU91" s="23"/>
      <c r="DV91" s="23"/>
      <c r="DW91" s="25"/>
      <c r="DY91" s="26"/>
      <c r="EA91" s="26"/>
      <c r="EC91" s="26"/>
    </row>
    <row r="92" spans="1:166" ht="17.25" customHeight="1" x14ac:dyDescent="0.2">
      <c r="A92" s="48"/>
    </row>
    <row r="93" spans="1:166" ht="16.5" customHeight="1" x14ac:dyDescent="0.2">
      <c r="A93" s="48"/>
    </row>
    <row r="94" spans="1:166" ht="17.25" customHeight="1" x14ac:dyDescent="0.2"/>
    <row r="95" spans="1:166" ht="18.75" customHeight="1" x14ac:dyDescent="0.2"/>
    <row r="96" spans="1:166" ht="18" customHeight="1" x14ac:dyDescent="0.2"/>
    <row r="97" ht="18.75" customHeight="1" x14ac:dyDescent="0.2"/>
    <row r="98" ht="20.100000000000001" customHeight="1" x14ac:dyDescent="0.2"/>
    <row r="99" ht="20.100000000000001" customHeight="1" x14ac:dyDescent="0.2"/>
    <row r="100" ht="20.100000000000001" customHeight="1" x14ac:dyDescent="0.2"/>
    <row r="101" ht="20.100000000000001" customHeight="1" x14ac:dyDescent="0.2"/>
    <row r="102" ht="20.100000000000001" customHeight="1" x14ac:dyDescent="0.2"/>
    <row r="103" ht="20.100000000000001" customHeight="1" x14ac:dyDescent="0.2"/>
    <row r="104" ht="18.75" customHeight="1" x14ac:dyDescent="0.2"/>
    <row r="105" ht="20.100000000000001" customHeight="1" x14ac:dyDescent="0.2"/>
    <row r="106" ht="18.75" customHeight="1" x14ac:dyDescent="0.2"/>
    <row r="107" ht="20.100000000000001" customHeight="1" x14ac:dyDescent="0.2"/>
    <row r="108" ht="20.100000000000001" customHeight="1" x14ac:dyDescent="0.2"/>
    <row r="109" ht="20.100000000000001" customHeight="1" x14ac:dyDescent="0.2"/>
    <row r="110" ht="20.100000000000001" customHeight="1" x14ac:dyDescent="0.2"/>
    <row r="111" ht="20.100000000000001" customHeight="1" x14ac:dyDescent="0.2"/>
    <row r="112" ht="19.5" customHeight="1" x14ac:dyDescent="0.2"/>
    <row r="113" spans="1:182" ht="20.100000000000001" customHeight="1" x14ac:dyDescent="0.2"/>
    <row r="114" spans="1:182" ht="20.100000000000001" customHeight="1" x14ac:dyDescent="0.2"/>
    <row r="115" spans="1:182" ht="20.100000000000001" customHeight="1" x14ac:dyDescent="0.2"/>
    <row r="116" spans="1:182" ht="20.100000000000001" customHeight="1" x14ac:dyDescent="0.2"/>
    <row r="117" spans="1:182" ht="20.100000000000001" customHeight="1" x14ac:dyDescent="0.2"/>
    <row r="118" spans="1:182" ht="20.100000000000001" customHeight="1" x14ac:dyDescent="0.2"/>
    <row r="119" spans="1:182" ht="20.100000000000001" customHeight="1" x14ac:dyDescent="0.2"/>
    <row r="120" spans="1:182" ht="20.100000000000001" customHeight="1" x14ac:dyDescent="0.2"/>
    <row r="121" spans="1:182" s="1" customFormat="1" ht="20.100000000000001" customHeight="1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 s="8"/>
    </row>
    <row r="122" spans="1:182" ht="20.100000000000001" customHeight="1" x14ac:dyDescent="0.2"/>
    <row r="123" spans="1:182" ht="20.100000000000001" customHeight="1" x14ac:dyDescent="0.2"/>
    <row r="124" spans="1:182" ht="20.100000000000001" customHeight="1" x14ac:dyDescent="0.2"/>
    <row r="125" spans="1:182" ht="20.100000000000001" customHeight="1" x14ac:dyDescent="0.2"/>
    <row r="126" spans="1:182" ht="20.100000000000001" customHeight="1" x14ac:dyDescent="0.2"/>
    <row r="127" spans="1:182" ht="20.100000000000001" customHeight="1" x14ac:dyDescent="0.2"/>
    <row r="128" spans="1:182" ht="20.100000000000001" customHeight="1" x14ac:dyDescent="0.2"/>
    <row r="129" ht="20.100000000000001" customHeight="1" x14ac:dyDescent="0.2"/>
  </sheetData>
  <mergeCells count="343">
    <mergeCell ref="AV82:BF82"/>
    <mergeCell ref="BI83:BN83"/>
    <mergeCell ref="AV84:BC84"/>
    <mergeCell ref="BE84:BJ84"/>
    <mergeCell ref="BL84:BN84"/>
    <mergeCell ref="DA83:DF83"/>
    <mergeCell ref="DY83:ED83"/>
    <mergeCell ref="FE83:FJ83"/>
    <mergeCell ref="I84:N84"/>
    <mergeCell ref="P84:R84"/>
    <mergeCell ref="X84:AE84"/>
    <mergeCell ref="AG84:AL84"/>
    <mergeCell ref="AN84:AP84"/>
    <mergeCell ref="BT84:BX84"/>
    <mergeCell ref="BY84:CD84"/>
    <mergeCell ref="CF84:CH84"/>
    <mergeCell ref="CN84:CV84"/>
    <mergeCell ref="CW84:DB84"/>
    <mergeCell ref="DD84:DF84"/>
    <mergeCell ref="DL84:DS84"/>
    <mergeCell ref="DU84:DZ84"/>
    <mergeCell ref="EB84:ED84"/>
    <mergeCell ref="EJ84:ER84"/>
    <mergeCell ref="FA84:FF84"/>
    <mergeCell ref="FH84:FJ84"/>
    <mergeCell ref="AK83:AP83"/>
    <mergeCell ref="FD50:FE51"/>
    <mergeCell ref="FF50:FG51"/>
    <mergeCell ref="FH50:FI51"/>
    <mergeCell ref="FJ50:FK51"/>
    <mergeCell ref="X82:AH82"/>
    <mergeCell ref="BT82:BZ82"/>
    <mergeCell ref="CN82:CX82"/>
    <mergeCell ref="DL82:DV82"/>
    <mergeCell ref="EJ82:FB82"/>
    <mergeCell ref="DB50:DC51"/>
    <mergeCell ref="DD50:DE51"/>
    <mergeCell ref="DF50:DG51"/>
    <mergeCell ref="DU50:DU51"/>
    <mergeCell ref="DV50:DV51"/>
    <mergeCell ref="DX50:DY51"/>
    <mergeCell ref="DZ50:EA51"/>
    <mergeCell ref="EB50:EC51"/>
    <mergeCell ref="ED50:EE51"/>
    <mergeCell ref="FC48:FC51"/>
    <mergeCell ref="FD48:FG49"/>
    <mergeCell ref="FH48:FK49"/>
    <mergeCell ref="EG48:EG51"/>
    <mergeCell ref="FL48:FL51"/>
    <mergeCell ref="E49:H49"/>
    <mergeCell ref="BU49:BX49"/>
    <mergeCell ref="CP49:CV49"/>
    <mergeCell ref="DM49:DT49"/>
    <mergeCell ref="EK49:ER49"/>
    <mergeCell ref="I50:I51"/>
    <mergeCell ref="J50:J51"/>
    <mergeCell ref="L50:M51"/>
    <mergeCell ref="N50:O51"/>
    <mergeCell ref="P50:Q51"/>
    <mergeCell ref="R50:S51"/>
    <mergeCell ref="BY50:BY51"/>
    <mergeCell ref="BZ50:BZ51"/>
    <mergeCell ref="CB50:CC51"/>
    <mergeCell ref="CD50:CE51"/>
    <mergeCell ref="CF50:CG51"/>
    <mergeCell ref="CH50:CI51"/>
    <mergeCell ref="CW50:CW51"/>
    <mergeCell ref="CX50:CX51"/>
    <mergeCell ref="CZ50:DA51"/>
    <mergeCell ref="DX48:EA49"/>
    <mergeCell ref="EB48:EE49"/>
    <mergeCell ref="EF48:EF51"/>
    <mergeCell ref="EJ48:EJ51"/>
    <mergeCell ref="EK48:ER48"/>
    <mergeCell ref="FA48:FB49"/>
    <mergeCell ref="FA50:FA51"/>
    <mergeCell ref="FB50:FB51"/>
    <mergeCell ref="DD48:DG49"/>
    <mergeCell ref="DH48:DH51"/>
    <mergeCell ref="DI48:DI51"/>
    <mergeCell ref="DJ48:DJ51"/>
    <mergeCell ref="DK48:DK51"/>
    <mergeCell ref="DL48:DL51"/>
    <mergeCell ref="DM48:DT48"/>
    <mergeCell ref="DU48:DV49"/>
    <mergeCell ref="DW48:DW51"/>
    <mergeCell ref="EH48:EH51"/>
    <mergeCell ref="EI48:EI51"/>
    <mergeCell ref="A48:A51"/>
    <mergeCell ref="B48:B51"/>
    <mergeCell ref="C48:C51"/>
    <mergeCell ref="D48:D51"/>
    <mergeCell ref="E48:H48"/>
    <mergeCell ref="K48:K51"/>
    <mergeCell ref="P48:S49"/>
    <mergeCell ref="T48:T51"/>
    <mergeCell ref="BT48:BT51"/>
    <mergeCell ref="BQ48:BQ51"/>
    <mergeCell ref="BR48:BR51"/>
    <mergeCell ref="BS48:BS51"/>
    <mergeCell ref="I48:J49"/>
    <mergeCell ref="L48:O49"/>
    <mergeCell ref="U48:U51"/>
    <mergeCell ref="V48:V51"/>
    <mergeCell ref="BP48:BP51"/>
    <mergeCell ref="BE50:BE51"/>
    <mergeCell ref="BF50:BF51"/>
    <mergeCell ref="BH50:BI51"/>
    <mergeCell ref="BJ50:BK51"/>
    <mergeCell ref="BL50:BM51"/>
    <mergeCell ref="BN50:BO51"/>
    <mergeCell ref="DY44:ED44"/>
    <mergeCell ref="FE44:FJ44"/>
    <mergeCell ref="I45:N45"/>
    <mergeCell ref="P45:R45"/>
    <mergeCell ref="X45:AE45"/>
    <mergeCell ref="AG45:AL45"/>
    <mergeCell ref="AN45:AP45"/>
    <mergeCell ref="BT45:BX45"/>
    <mergeCell ref="BY45:CD45"/>
    <mergeCell ref="CF45:CH45"/>
    <mergeCell ref="CN45:CV45"/>
    <mergeCell ref="CW45:DB45"/>
    <mergeCell ref="DD45:DF45"/>
    <mergeCell ref="DL45:DS45"/>
    <mergeCell ref="DU45:DZ45"/>
    <mergeCell ref="EB45:ED45"/>
    <mergeCell ref="EJ45:ER45"/>
    <mergeCell ref="FA45:FF45"/>
    <mergeCell ref="FH45:FJ45"/>
    <mergeCell ref="M44:R44"/>
    <mergeCell ref="FL7:FL10"/>
    <mergeCell ref="EK8:ER8"/>
    <mergeCell ref="FA9:FA10"/>
    <mergeCell ref="FB9:FB10"/>
    <mergeCell ref="FD9:FE10"/>
    <mergeCell ref="FF9:FG10"/>
    <mergeCell ref="FH9:FI10"/>
    <mergeCell ref="FJ9:FK10"/>
    <mergeCell ref="X43:AH43"/>
    <mergeCell ref="BT43:BZ43"/>
    <mergeCell ref="CN43:CX43"/>
    <mergeCell ref="DL43:DV43"/>
    <mergeCell ref="EJ43:FB43"/>
    <mergeCell ref="EF7:EF10"/>
    <mergeCell ref="DM8:DT8"/>
    <mergeCell ref="DU9:DU10"/>
    <mergeCell ref="DV9:DV10"/>
    <mergeCell ref="DX9:DY10"/>
    <mergeCell ref="DZ9:EA10"/>
    <mergeCell ref="EB9:EC10"/>
    <mergeCell ref="ED9:EE10"/>
    <mergeCell ref="CW9:CW10"/>
    <mergeCell ref="AS7:AS10"/>
    <mergeCell ref="X7:X10"/>
    <mergeCell ref="FE3:FJ3"/>
    <mergeCell ref="EJ4:ER4"/>
    <mergeCell ref="FA4:FF4"/>
    <mergeCell ref="FH4:FJ4"/>
    <mergeCell ref="EJ7:EJ10"/>
    <mergeCell ref="EK7:ER7"/>
    <mergeCell ref="FA7:FB8"/>
    <mergeCell ref="FC7:FC10"/>
    <mergeCell ref="FD7:FG8"/>
    <mergeCell ref="FH7:FK8"/>
    <mergeCell ref="EJ2:FB2"/>
    <mergeCell ref="CX9:CX10"/>
    <mergeCell ref="CZ9:DA10"/>
    <mergeCell ref="DB9:DC10"/>
    <mergeCell ref="DD9:DE10"/>
    <mergeCell ref="DF9:DG10"/>
    <mergeCell ref="DL2:DV2"/>
    <mergeCell ref="DY3:ED3"/>
    <mergeCell ref="DL4:DS4"/>
    <mergeCell ref="DU4:DZ4"/>
    <mergeCell ref="EB4:ED4"/>
    <mergeCell ref="DI7:DI10"/>
    <mergeCell ref="DJ7:DJ10"/>
    <mergeCell ref="DK7:DK10"/>
    <mergeCell ref="DL7:DL10"/>
    <mergeCell ref="DM7:DT7"/>
    <mergeCell ref="DU7:DV8"/>
    <mergeCell ref="DW7:DW10"/>
    <mergeCell ref="DX7:EA8"/>
    <mergeCell ref="EB7:EE8"/>
    <mergeCell ref="DH7:DH10"/>
    <mergeCell ref="EI7:EI10"/>
    <mergeCell ref="EH7:EH10"/>
    <mergeCell ref="EG7:EG10"/>
    <mergeCell ref="B7:B10"/>
    <mergeCell ref="C7:C10"/>
    <mergeCell ref="D7:D10"/>
    <mergeCell ref="E7:H7"/>
    <mergeCell ref="K7:K10"/>
    <mergeCell ref="P9:Q10"/>
    <mergeCell ref="R9:S10"/>
    <mergeCell ref="AV2:BF2"/>
    <mergeCell ref="BI3:BN3"/>
    <mergeCell ref="AV4:BC4"/>
    <mergeCell ref="BE4:BJ4"/>
    <mergeCell ref="BL4:BN4"/>
    <mergeCell ref="AT7:AT10"/>
    <mergeCell ref="AU7:AU10"/>
    <mergeCell ref="AV7:AV10"/>
    <mergeCell ref="AW7:BD7"/>
    <mergeCell ref="BE7:BF8"/>
    <mergeCell ref="BH7:BK8"/>
    <mergeCell ref="BL7:BO8"/>
    <mergeCell ref="AW8:BD8"/>
    <mergeCell ref="BE9:BE10"/>
    <mergeCell ref="BF9:BF10"/>
    <mergeCell ref="BH9:BI10"/>
    <mergeCell ref="BJ9:BK10"/>
    <mergeCell ref="X2:AH2"/>
    <mergeCell ref="CY48:CY51"/>
    <mergeCell ref="DA44:DF44"/>
    <mergeCell ref="CZ48:DC49"/>
    <mergeCell ref="CY7:CY10"/>
    <mergeCell ref="CN2:CX2"/>
    <mergeCell ref="DA3:DF3"/>
    <mergeCell ref="CN4:CV4"/>
    <mergeCell ref="CL7:CL10"/>
    <mergeCell ref="BP7:BP10"/>
    <mergeCell ref="BL9:BM10"/>
    <mergeCell ref="BN9:BO10"/>
    <mergeCell ref="CK7:CK10"/>
    <mergeCell ref="CM7:CM10"/>
    <mergeCell ref="CN7:CN10"/>
    <mergeCell ref="CP7:CV7"/>
    <mergeCell ref="CP8:CV8"/>
    <mergeCell ref="CC44:CH44"/>
    <mergeCell ref="BG7:BG10"/>
    <mergeCell ref="CW4:DB4"/>
    <mergeCell ref="DD4:DF4"/>
    <mergeCell ref="CW7:CX8"/>
    <mergeCell ref="CZ7:DC8"/>
    <mergeCell ref="DD7:DG8"/>
    <mergeCell ref="AN7:AQ8"/>
    <mergeCell ref="X4:AE4"/>
    <mergeCell ref="AG4:AL4"/>
    <mergeCell ref="AR48:AR51"/>
    <mergeCell ref="X48:X51"/>
    <mergeCell ref="Y48:AF48"/>
    <mergeCell ref="AK44:AP44"/>
    <mergeCell ref="AL50:AM51"/>
    <mergeCell ref="AN50:AO51"/>
    <mergeCell ref="AP50:AQ51"/>
    <mergeCell ref="AH50:AH51"/>
    <mergeCell ref="I9:I10"/>
    <mergeCell ref="M3:R3"/>
    <mergeCell ref="L9:M10"/>
    <mergeCell ref="N9:O10"/>
    <mergeCell ref="E8:H8"/>
    <mergeCell ref="I7:J8"/>
    <mergeCell ref="L7:O8"/>
    <mergeCell ref="P7:S8"/>
    <mergeCell ref="T7:T10"/>
    <mergeCell ref="J9:J10"/>
    <mergeCell ref="P4:R4"/>
    <mergeCell ref="I4:N4"/>
    <mergeCell ref="D4:H4"/>
    <mergeCell ref="D2:J2"/>
    <mergeCell ref="A7:A10"/>
    <mergeCell ref="CL48:CL51"/>
    <mergeCell ref="M83:R83"/>
    <mergeCell ref="CC83:CH83"/>
    <mergeCell ref="AJ50:AK51"/>
    <mergeCell ref="U7:U10"/>
    <mergeCell ref="CP48:CV48"/>
    <mergeCell ref="AK3:AP3"/>
    <mergeCell ref="Y7:AF7"/>
    <mergeCell ref="CA48:CA51"/>
    <mergeCell ref="Y8:AF8"/>
    <mergeCell ref="AG9:AG10"/>
    <mergeCell ref="AH9:AH10"/>
    <mergeCell ref="AJ9:AK10"/>
    <mergeCell ref="AL9:AM10"/>
    <mergeCell ref="AN9:AO10"/>
    <mergeCell ref="AP9:AQ10"/>
    <mergeCell ref="AG48:AH49"/>
    <mergeCell ref="AI48:AI51"/>
    <mergeCell ref="AJ48:AM49"/>
    <mergeCell ref="AN48:AQ49"/>
    <mergeCell ref="Y49:AF49"/>
    <mergeCell ref="AG50:AG51"/>
    <mergeCell ref="BU48:BX48"/>
    <mergeCell ref="AN4:AP4"/>
    <mergeCell ref="AR7:AR10"/>
    <mergeCell ref="AG7:AH8"/>
    <mergeCell ref="AI7:AI10"/>
    <mergeCell ref="AJ7:AM8"/>
    <mergeCell ref="CW48:CX49"/>
    <mergeCell ref="V7:V10"/>
    <mergeCell ref="W7:W10"/>
    <mergeCell ref="CK48:CK51"/>
    <mergeCell ref="CM48:CM51"/>
    <mergeCell ref="CN48:CN51"/>
    <mergeCell ref="BQ7:BQ10"/>
    <mergeCell ref="BR7:BR10"/>
    <mergeCell ref="BS7:BS10"/>
    <mergeCell ref="BT7:BT10"/>
    <mergeCell ref="BU7:BX7"/>
    <mergeCell ref="BY7:BZ8"/>
    <mergeCell ref="CA7:CA10"/>
    <mergeCell ref="CB7:CE8"/>
    <mergeCell ref="CF7:CI8"/>
    <mergeCell ref="CJ7:CJ10"/>
    <mergeCell ref="BU8:BX8"/>
    <mergeCell ref="BY9:BY10"/>
    <mergeCell ref="D84:H84"/>
    <mergeCell ref="D82:J82"/>
    <mergeCell ref="D45:H45"/>
    <mergeCell ref="D43:J43"/>
    <mergeCell ref="W48:W51"/>
    <mergeCell ref="BY48:BZ49"/>
    <mergeCell ref="CB48:CE49"/>
    <mergeCell ref="CF48:CI49"/>
    <mergeCell ref="CJ48:CJ51"/>
    <mergeCell ref="AV43:BF43"/>
    <mergeCell ref="BI44:BN44"/>
    <mergeCell ref="AV45:BC45"/>
    <mergeCell ref="BE45:BJ45"/>
    <mergeCell ref="BL45:BN45"/>
    <mergeCell ref="AS48:AS51"/>
    <mergeCell ref="AT48:AT51"/>
    <mergeCell ref="AU48:AU51"/>
    <mergeCell ref="AV48:AV51"/>
    <mergeCell ref="AW48:BD48"/>
    <mergeCell ref="BE48:BF49"/>
    <mergeCell ref="BG48:BG51"/>
    <mergeCell ref="BH48:BK49"/>
    <mergeCell ref="BL48:BO49"/>
    <mergeCell ref="AW49:BD49"/>
    <mergeCell ref="BZ9:BZ10"/>
    <mergeCell ref="CB9:CC10"/>
    <mergeCell ref="CD9:CE10"/>
    <mergeCell ref="CF9:CG10"/>
    <mergeCell ref="CH9:CI10"/>
    <mergeCell ref="BT2:BZ2"/>
    <mergeCell ref="CC3:CH3"/>
    <mergeCell ref="BT4:BX4"/>
    <mergeCell ref="BY4:CD4"/>
    <mergeCell ref="CF4:CH4"/>
  </mergeCells>
  <phoneticPr fontId="23" type="noConversion"/>
  <printOptions gridLines="1"/>
  <pageMargins left="0" right="0" top="0.25" bottom="0.5" header="0" footer="0.2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107"/>
  <sheetViews>
    <sheetView zoomScale="46" workbookViewId="0">
      <selection sqref="A1:G1"/>
    </sheetView>
  </sheetViews>
  <sheetFormatPr defaultRowHeight="10.199999999999999" x14ac:dyDescent="0.2"/>
  <cols>
    <col min="1" max="1" width="9.5" bestFit="1" customWidth="1"/>
    <col min="2" max="2" width="11.33203125" customWidth="1"/>
    <col min="3" max="3" width="9.5" bestFit="1" customWidth="1"/>
    <col min="4" max="4" width="19.1640625" customWidth="1"/>
    <col min="5" max="5" width="12.33203125" customWidth="1"/>
    <col min="6" max="6" width="18.33203125" customWidth="1"/>
    <col min="7" max="7" width="11" customWidth="1"/>
    <col min="8" max="8" width="9.5" bestFit="1" customWidth="1"/>
    <col min="9" max="9" width="11.1640625" customWidth="1"/>
    <col min="10" max="10" width="9.5" bestFit="1" customWidth="1"/>
    <col min="11" max="11" width="22" customWidth="1"/>
    <col min="12" max="12" width="12.6640625" customWidth="1"/>
    <col min="13" max="14" width="14.33203125" customWidth="1"/>
    <col min="15" max="15" width="9.5" bestFit="1" customWidth="1"/>
    <col min="16" max="16" width="13.33203125" customWidth="1"/>
    <col min="17" max="17" width="9.5" bestFit="1" customWidth="1"/>
    <col min="18" max="18" width="30.1640625" customWidth="1"/>
    <col min="19" max="20" width="12.5" customWidth="1"/>
    <col min="21" max="21" width="10.1640625" bestFit="1" customWidth="1"/>
    <col min="23" max="24" width="9.5" bestFit="1" customWidth="1"/>
  </cols>
  <sheetData>
    <row r="1" spans="1:28" ht="15.6" x14ac:dyDescent="0.3">
      <c r="A1" s="198"/>
      <c r="B1" s="198"/>
      <c r="C1" s="198"/>
      <c r="D1" s="198"/>
      <c r="E1" s="198"/>
      <c r="F1" s="198"/>
      <c r="G1" s="198"/>
      <c r="H1" s="198" t="s">
        <v>52</v>
      </c>
      <c r="I1" s="198"/>
      <c r="J1" s="198"/>
      <c r="K1" s="198"/>
      <c r="L1" s="198"/>
      <c r="M1" s="198"/>
      <c r="N1" s="198"/>
      <c r="O1" s="198" t="s">
        <v>52</v>
      </c>
      <c r="P1" s="198"/>
      <c r="Q1" s="198"/>
      <c r="R1" s="198"/>
      <c r="S1" s="198"/>
      <c r="T1" s="198"/>
      <c r="U1" s="198"/>
      <c r="V1" s="198" t="s">
        <v>52</v>
      </c>
      <c r="W1" s="198"/>
      <c r="X1" s="198"/>
      <c r="Y1" s="198"/>
      <c r="Z1" s="198"/>
      <c r="AA1" s="198"/>
      <c r="AB1" s="198"/>
    </row>
    <row r="2" spans="1:28" ht="15" x14ac:dyDescent="0.25">
      <c r="A2" s="45" t="s">
        <v>51</v>
      </c>
      <c r="H2" s="45" t="s">
        <v>51</v>
      </c>
      <c r="O2" s="45" t="s">
        <v>51</v>
      </c>
      <c r="V2" s="45" t="s">
        <v>51</v>
      </c>
    </row>
    <row r="3" spans="1:28" ht="15.6" x14ac:dyDescent="0.3">
      <c r="A3" s="45" t="s">
        <v>59</v>
      </c>
      <c r="D3" s="199" t="s">
        <v>66</v>
      </c>
      <c r="E3" s="199"/>
      <c r="F3" s="199"/>
      <c r="H3" s="45" t="s">
        <v>59</v>
      </c>
      <c r="K3" s="199" t="s">
        <v>63</v>
      </c>
      <c r="L3" s="199"/>
      <c r="M3" s="199"/>
      <c r="N3" s="199"/>
      <c r="O3" s="45" t="s">
        <v>59</v>
      </c>
      <c r="R3" s="199" t="s">
        <v>64</v>
      </c>
      <c r="S3" s="199"/>
      <c r="T3" s="199"/>
      <c r="V3" s="45" t="s">
        <v>59</v>
      </c>
      <c r="Y3" s="199" t="s">
        <v>65</v>
      </c>
      <c r="Z3" s="199"/>
      <c r="AA3" s="199"/>
    </row>
    <row r="4" spans="1:28" ht="15" x14ac:dyDescent="0.25">
      <c r="A4" s="45"/>
      <c r="H4" s="45"/>
      <c r="O4" s="45"/>
      <c r="V4" s="45"/>
    </row>
    <row r="5" spans="1:28" ht="118.8" x14ac:dyDescent="0.25">
      <c r="A5" s="27" t="s">
        <v>50</v>
      </c>
      <c r="B5" s="14" t="s">
        <v>49</v>
      </c>
      <c r="C5" s="14" t="s">
        <v>48</v>
      </c>
      <c r="D5" s="49" t="s">
        <v>47</v>
      </c>
      <c r="E5" s="49" t="s">
        <v>46</v>
      </c>
      <c r="F5" s="49" t="s">
        <v>45</v>
      </c>
      <c r="G5" s="52" t="s">
        <v>44</v>
      </c>
      <c r="H5" s="27" t="s">
        <v>50</v>
      </c>
      <c r="I5" s="14" t="s">
        <v>49</v>
      </c>
      <c r="J5" s="14" t="s">
        <v>48</v>
      </c>
      <c r="K5" s="49" t="s">
        <v>47</v>
      </c>
      <c r="L5" s="49" t="s">
        <v>46</v>
      </c>
      <c r="M5" s="49" t="s">
        <v>45</v>
      </c>
      <c r="N5" s="52" t="s">
        <v>44</v>
      </c>
      <c r="O5" s="27" t="s">
        <v>50</v>
      </c>
      <c r="P5" s="14" t="s">
        <v>49</v>
      </c>
      <c r="Q5" s="14" t="s">
        <v>48</v>
      </c>
      <c r="R5" s="49" t="s">
        <v>47</v>
      </c>
      <c r="S5" s="49" t="s">
        <v>46</v>
      </c>
      <c r="T5" s="49" t="s">
        <v>45</v>
      </c>
      <c r="U5" s="27" t="s">
        <v>44</v>
      </c>
      <c r="V5" s="27" t="s">
        <v>50</v>
      </c>
      <c r="W5" s="14" t="s">
        <v>49</v>
      </c>
      <c r="X5" s="14" t="s">
        <v>48</v>
      </c>
      <c r="Y5" s="49" t="s">
        <v>47</v>
      </c>
      <c r="Z5" s="49" t="s">
        <v>46</v>
      </c>
      <c r="AA5" s="49" t="s">
        <v>45</v>
      </c>
      <c r="AB5" s="27" t="s">
        <v>44</v>
      </c>
    </row>
    <row r="6" spans="1:28" ht="15.6" x14ac:dyDescent="0.3">
      <c r="A6" s="200">
        <v>1</v>
      </c>
      <c r="B6" s="204"/>
      <c r="C6" s="203"/>
      <c r="D6" s="79"/>
      <c r="E6" s="81"/>
      <c r="F6" s="81"/>
      <c r="G6" s="206">
        <f>C6*50</f>
        <v>0</v>
      </c>
      <c r="H6" s="200">
        <v>1</v>
      </c>
      <c r="I6" s="204"/>
      <c r="J6" s="203"/>
      <c r="K6" s="61"/>
      <c r="L6" s="60"/>
      <c r="M6" s="60"/>
      <c r="N6" s="203">
        <f>J6*50</f>
        <v>0</v>
      </c>
      <c r="O6" s="200">
        <v>1</v>
      </c>
      <c r="P6" s="204"/>
      <c r="Q6" s="203"/>
      <c r="R6" s="61"/>
      <c r="S6" s="60"/>
      <c r="T6" s="60"/>
      <c r="U6" s="203">
        <f>Q6*50</f>
        <v>0</v>
      </c>
      <c r="V6" s="200"/>
      <c r="W6" s="201"/>
      <c r="X6" s="203"/>
      <c r="Y6" s="61"/>
      <c r="Z6" s="60"/>
      <c r="AA6" s="60"/>
      <c r="AB6" s="203">
        <f>X6*20</f>
        <v>0</v>
      </c>
    </row>
    <row r="7" spans="1:28" ht="15.6" x14ac:dyDescent="0.3">
      <c r="A7" s="200"/>
      <c r="B7" s="205"/>
      <c r="C7" s="203"/>
      <c r="D7" s="80"/>
      <c r="E7" s="82"/>
      <c r="F7" s="82"/>
      <c r="G7" s="207"/>
      <c r="H7" s="200"/>
      <c r="I7" s="205"/>
      <c r="J7" s="203"/>
      <c r="K7" s="61"/>
      <c r="L7" s="60"/>
      <c r="M7" s="60"/>
      <c r="N7" s="203"/>
      <c r="O7" s="200"/>
      <c r="P7" s="205"/>
      <c r="Q7" s="203"/>
      <c r="R7" s="61"/>
      <c r="S7" s="60"/>
      <c r="T7" s="60"/>
      <c r="U7" s="203"/>
      <c r="V7" s="200"/>
      <c r="W7" s="202"/>
      <c r="X7" s="203"/>
      <c r="Y7" s="61"/>
      <c r="Z7" s="60"/>
      <c r="AA7" s="60"/>
      <c r="AB7" s="203"/>
    </row>
    <row r="8" spans="1:28" ht="15.6" x14ac:dyDescent="0.3">
      <c r="A8" s="200">
        <v>2</v>
      </c>
      <c r="B8" s="204"/>
      <c r="C8" s="203"/>
      <c r="D8" s="79"/>
      <c r="E8" s="81"/>
      <c r="F8" s="81"/>
      <c r="G8" s="206">
        <f t="shared" ref="G8" si="0">C8*50</f>
        <v>0</v>
      </c>
      <c r="H8" s="200">
        <v>2</v>
      </c>
      <c r="I8" s="204"/>
      <c r="J8" s="203"/>
      <c r="K8" s="87"/>
      <c r="L8" s="81"/>
      <c r="M8" s="81"/>
      <c r="N8" s="203">
        <f t="shared" ref="N8" si="1">J8*50</f>
        <v>0</v>
      </c>
      <c r="O8" s="200">
        <v>2</v>
      </c>
      <c r="P8" s="204"/>
      <c r="Q8" s="203"/>
      <c r="R8" s="79"/>
      <c r="S8" s="81"/>
      <c r="T8" s="81"/>
      <c r="U8" s="203">
        <f t="shared" ref="U8" si="2">Q8*50</f>
        <v>0</v>
      </c>
      <c r="V8" s="200"/>
      <c r="W8" s="201"/>
      <c r="X8" s="203"/>
      <c r="Y8" s="208"/>
      <c r="Z8" s="206"/>
      <c r="AA8" s="206"/>
      <c r="AB8" s="203">
        <f t="shared" ref="AB8" si="3">X8*20</f>
        <v>0</v>
      </c>
    </row>
    <row r="9" spans="1:28" ht="15.6" x14ac:dyDescent="0.3">
      <c r="A9" s="200"/>
      <c r="B9" s="205"/>
      <c r="C9" s="203"/>
      <c r="D9" s="80"/>
      <c r="E9" s="82"/>
      <c r="F9" s="82"/>
      <c r="G9" s="207"/>
      <c r="H9" s="200"/>
      <c r="I9" s="205"/>
      <c r="J9" s="203"/>
      <c r="K9" s="88"/>
      <c r="L9" s="82"/>
      <c r="M9" s="82"/>
      <c r="N9" s="203"/>
      <c r="O9" s="200"/>
      <c r="P9" s="205"/>
      <c r="Q9" s="203"/>
      <c r="R9" s="80"/>
      <c r="S9" s="82"/>
      <c r="T9" s="82"/>
      <c r="U9" s="203"/>
      <c r="V9" s="200"/>
      <c r="W9" s="202"/>
      <c r="X9" s="203"/>
      <c r="Y9" s="209"/>
      <c r="Z9" s="207"/>
      <c r="AA9" s="207"/>
      <c r="AB9" s="203"/>
    </row>
    <row r="10" spans="1:28" ht="15.6" x14ac:dyDescent="0.3">
      <c r="A10" s="200">
        <v>3</v>
      </c>
      <c r="B10" s="204"/>
      <c r="C10" s="206"/>
      <c r="D10" s="61"/>
      <c r="E10" s="60"/>
      <c r="F10" s="60"/>
      <c r="G10" s="206">
        <f t="shared" ref="G10" si="4">C10*50</f>
        <v>0</v>
      </c>
      <c r="H10" s="200">
        <v>3</v>
      </c>
      <c r="I10" s="204"/>
      <c r="J10" s="203"/>
      <c r="K10" s="79"/>
      <c r="L10" s="81"/>
      <c r="M10" s="81"/>
      <c r="N10" s="203">
        <f t="shared" ref="N10" si="5">J10*50</f>
        <v>0</v>
      </c>
      <c r="O10" s="200">
        <v>3</v>
      </c>
      <c r="P10" s="204"/>
      <c r="Q10" s="203"/>
      <c r="R10" s="79"/>
      <c r="S10" s="81"/>
      <c r="T10" s="81"/>
      <c r="U10" s="203">
        <f t="shared" ref="U10" si="6">Q10*50</f>
        <v>0</v>
      </c>
      <c r="V10" s="200"/>
      <c r="W10" s="201"/>
      <c r="X10" s="203"/>
      <c r="Y10" s="208"/>
      <c r="Z10" s="206"/>
      <c r="AA10" s="206"/>
      <c r="AB10" s="203">
        <f t="shared" ref="AB10" si="7">X10*20</f>
        <v>0</v>
      </c>
    </row>
    <row r="11" spans="1:28" ht="15.6" x14ac:dyDescent="0.3">
      <c r="A11" s="200"/>
      <c r="B11" s="205"/>
      <c r="C11" s="207"/>
      <c r="D11" s="61"/>
      <c r="E11" s="60"/>
      <c r="F11" s="60"/>
      <c r="G11" s="207"/>
      <c r="H11" s="200"/>
      <c r="I11" s="205"/>
      <c r="J11" s="203"/>
      <c r="K11" s="80"/>
      <c r="L11" s="82"/>
      <c r="M11" s="82"/>
      <c r="N11" s="203"/>
      <c r="O11" s="200"/>
      <c r="P11" s="205"/>
      <c r="Q11" s="203"/>
      <c r="R11" s="80"/>
      <c r="S11" s="82"/>
      <c r="T11" s="82"/>
      <c r="U11" s="203"/>
      <c r="V11" s="200"/>
      <c r="W11" s="202"/>
      <c r="X11" s="203"/>
      <c r="Y11" s="209"/>
      <c r="Z11" s="207"/>
      <c r="AA11" s="207"/>
      <c r="AB11" s="203"/>
    </row>
    <row r="12" spans="1:28" ht="15.6" x14ac:dyDescent="0.3">
      <c r="A12" s="200">
        <v>4</v>
      </c>
      <c r="B12" s="204"/>
      <c r="C12" s="206"/>
      <c r="D12" s="79"/>
      <c r="E12" s="81"/>
      <c r="F12" s="81"/>
      <c r="G12" s="206">
        <f t="shared" ref="G12" si="8">C12*50</f>
        <v>0</v>
      </c>
      <c r="H12" s="200">
        <v>4</v>
      </c>
      <c r="I12" s="204"/>
      <c r="J12" s="203"/>
      <c r="K12" s="61"/>
      <c r="L12" s="60"/>
      <c r="M12" s="60"/>
      <c r="N12" s="203">
        <f t="shared" ref="N12" si="9">J12*50</f>
        <v>0</v>
      </c>
      <c r="O12" s="200">
        <v>4</v>
      </c>
      <c r="P12" s="204"/>
      <c r="Q12" s="203"/>
      <c r="R12" s="61"/>
      <c r="S12" s="60"/>
      <c r="T12" s="60"/>
      <c r="U12" s="203">
        <f t="shared" ref="U12" si="10">Q12*50</f>
        <v>0</v>
      </c>
      <c r="V12" s="200"/>
      <c r="W12" s="201"/>
      <c r="X12" s="203"/>
      <c r="Y12" s="61"/>
      <c r="Z12" s="60"/>
      <c r="AA12" s="60"/>
      <c r="AB12" s="203">
        <f t="shared" ref="AB12" si="11">X12*20</f>
        <v>0</v>
      </c>
    </row>
    <row r="13" spans="1:28" ht="15.6" x14ac:dyDescent="0.3">
      <c r="A13" s="200"/>
      <c r="B13" s="205"/>
      <c r="C13" s="207"/>
      <c r="D13" s="80"/>
      <c r="E13" s="82"/>
      <c r="F13" s="82"/>
      <c r="G13" s="207"/>
      <c r="H13" s="200"/>
      <c r="I13" s="205"/>
      <c r="J13" s="203"/>
      <c r="K13" s="61"/>
      <c r="L13" s="60"/>
      <c r="M13" s="60"/>
      <c r="N13" s="203"/>
      <c r="O13" s="200"/>
      <c r="P13" s="205"/>
      <c r="Q13" s="203"/>
      <c r="R13" s="61"/>
      <c r="S13" s="60"/>
      <c r="T13" s="60"/>
      <c r="U13" s="203"/>
      <c r="V13" s="200"/>
      <c r="W13" s="202"/>
      <c r="X13" s="203"/>
      <c r="Y13" s="61"/>
      <c r="Z13" s="60"/>
      <c r="AA13" s="60"/>
      <c r="AB13" s="203"/>
    </row>
    <row r="14" spans="1:28" ht="15.6" x14ac:dyDescent="0.3">
      <c r="A14" s="200">
        <v>5</v>
      </c>
      <c r="B14" s="204"/>
      <c r="C14" s="206"/>
      <c r="D14" s="61"/>
      <c r="E14" s="60"/>
      <c r="F14" s="60"/>
      <c r="G14" s="206">
        <f t="shared" ref="G14" si="12">C14*50</f>
        <v>0</v>
      </c>
      <c r="H14" s="200">
        <v>5</v>
      </c>
      <c r="I14" s="204"/>
      <c r="J14" s="203"/>
      <c r="K14" s="87"/>
      <c r="L14" s="81"/>
      <c r="M14" s="81"/>
      <c r="N14" s="203">
        <f t="shared" ref="N14" si="13">J14*50</f>
        <v>0</v>
      </c>
      <c r="O14" s="200">
        <v>5</v>
      </c>
      <c r="P14" s="204"/>
      <c r="Q14" s="203"/>
      <c r="R14" s="79"/>
      <c r="S14" s="81"/>
      <c r="T14" s="81"/>
      <c r="U14" s="203">
        <f t="shared" ref="U14" si="14">Q14*50</f>
        <v>0</v>
      </c>
      <c r="V14" s="200"/>
      <c r="W14" s="201"/>
      <c r="X14" s="203"/>
      <c r="Y14" s="208"/>
      <c r="Z14" s="206"/>
      <c r="AA14" s="206"/>
      <c r="AB14" s="203">
        <f t="shared" ref="AB14" si="15">X14*20</f>
        <v>0</v>
      </c>
    </row>
    <row r="15" spans="1:28" ht="15.6" x14ac:dyDescent="0.3">
      <c r="A15" s="200"/>
      <c r="B15" s="205"/>
      <c r="C15" s="207"/>
      <c r="D15" s="61"/>
      <c r="E15" s="60"/>
      <c r="F15" s="60"/>
      <c r="G15" s="207"/>
      <c r="H15" s="200"/>
      <c r="I15" s="205"/>
      <c r="J15" s="203"/>
      <c r="K15" s="88"/>
      <c r="L15" s="82"/>
      <c r="M15" s="82"/>
      <c r="N15" s="203"/>
      <c r="O15" s="200"/>
      <c r="P15" s="205"/>
      <c r="Q15" s="203"/>
      <c r="R15" s="80"/>
      <c r="S15" s="82"/>
      <c r="T15" s="82"/>
      <c r="U15" s="203"/>
      <c r="V15" s="200"/>
      <c r="W15" s="202"/>
      <c r="X15" s="203"/>
      <c r="Y15" s="209"/>
      <c r="Z15" s="207"/>
      <c r="AA15" s="207"/>
      <c r="AB15" s="203"/>
    </row>
    <row r="16" spans="1:28" ht="15.6" x14ac:dyDescent="0.3">
      <c r="A16" s="200">
        <v>6</v>
      </c>
      <c r="B16" s="204"/>
      <c r="C16" s="206"/>
      <c r="D16" s="79"/>
      <c r="E16" s="81"/>
      <c r="F16" s="81"/>
      <c r="G16" s="206">
        <f t="shared" ref="G16" si="16">C16*50</f>
        <v>0</v>
      </c>
      <c r="H16" s="200">
        <v>6</v>
      </c>
      <c r="I16" s="204"/>
      <c r="J16" s="203"/>
      <c r="K16" s="79"/>
      <c r="L16" s="81"/>
      <c r="M16" s="81"/>
      <c r="N16" s="203">
        <f>J16*50</f>
        <v>0</v>
      </c>
      <c r="O16" s="200">
        <v>6</v>
      </c>
      <c r="P16" s="204"/>
      <c r="Q16" s="206"/>
      <c r="R16" s="79"/>
      <c r="S16" s="79"/>
      <c r="T16" s="79"/>
      <c r="U16" s="203">
        <f t="shared" ref="U16" si="17">Q16*50</f>
        <v>0</v>
      </c>
      <c r="V16" s="200"/>
      <c r="W16" s="201"/>
      <c r="X16" s="206">
        <f>'[1]Engg Refres'!CD132</f>
        <v>0</v>
      </c>
      <c r="Y16" s="208"/>
      <c r="Z16" s="206"/>
      <c r="AA16" s="206"/>
      <c r="AB16" s="203">
        <f t="shared" ref="AB16" si="18">X16*20</f>
        <v>0</v>
      </c>
    </row>
    <row r="17" spans="1:28" ht="15.6" x14ac:dyDescent="0.3">
      <c r="A17" s="200"/>
      <c r="B17" s="205"/>
      <c r="C17" s="207"/>
      <c r="D17" s="80"/>
      <c r="E17" s="82"/>
      <c r="F17" s="82"/>
      <c r="G17" s="207"/>
      <c r="H17" s="200"/>
      <c r="I17" s="205"/>
      <c r="J17" s="203"/>
      <c r="K17" s="80"/>
      <c r="L17" s="82"/>
      <c r="M17" s="82"/>
      <c r="N17" s="203"/>
      <c r="O17" s="200"/>
      <c r="P17" s="205"/>
      <c r="Q17" s="207"/>
      <c r="R17" s="80"/>
      <c r="S17" s="80"/>
      <c r="T17" s="80"/>
      <c r="U17" s="203"/>
      <c r="V17" s="200"/>
      <c r="W17" s="202"/>
      <c r="X17" s="207"/>
      <c r="Y17" s="209"/>
      <c r="Z17" s="207"/>
      <c r="AA17" s="207"/>
      <c r="AB17" s="203"/>
    </row>
    <row r="18" spans="1:28" ht="15.6" x14ac:dyDescent="0.3">
      <c r="A18" s="200">
        <v>7</v>
      </c>
      <c r="B18" s="204"/>
      <c r="C18" s="206"/>
      <c r="D18" s="79"/>
      <c r="E18" s="81"/>
      <c r="F18" s="81"/>
      <c r="G18" s="206">
        <f t="shared" ref="G18" si="19">C18*50</f>
        <v>0</v>
      </c>
      <c r="H18" s="200">
        <v>7</v>
      </c>
      <c r="I18" s="206"/>
      <c r="J18" s="210"/>
      <c r="K18" s="79"/>
      <c r="L18" s="81"/>
      <c r="M18" s="81"/>
      <c r="N18" s="203">
        <f t="shared" ref="N18:N20" si="20">J18*50</f>
        <v>0</v>
      </c>
      <c r="O18" s="200"/>
      <c r="P18" s="210"/>
      <c r="Q18" s="210"/>
      <c r="R18" s="79"/>
      <c r="S18" s="79"/>
      <c r="T18" s="79"/>
      <c r="U18" s="203"/>
      <c r="V18" s="200"/>
      <c r="W18" s="210"/>
      <c r="X18" s="210"/>
      <c r="Y18" s="208"/>
      <c r="Z18" s="206"/>
      <c r="AA18" s="206"/>
      <c r="AB18" s="203"/>
    </row>
    <row r="19" spans="1:28" ht="15.6" x14ac:dyDescent="0.3">
      <c r="A19" s="200"/>
      <c r="B19" s="205"/>
      <c r="C19" s="207"/>
      <c r="D19" s="80"/>
      <c r="E19" s="82"/>
      <c r="F19" s="82"/>
      <c r="G19" s="207"/>
      <c r="H19" s="200"/>
      <c r="I19" s="207"/>
      <c r="J19" s="211"/>
      <c r="K19" s="80"/>
      <c r="L19" s="82"/>
      <c r="M19" s="82"/>
      <c r="N19" s="203"/>
      <c r="O19" s="200"/>
      <c r="P19" s="211"/>
      <c r="Q19" s="211"/>
      <c r="R19" s="80"/>
      <c r="S19" s="80"/>
      <c r="T19" s="80"/>
      <c r="U19" s="203"/>
      <c r="V19" s="200"/>
      <c r="W19" s="211"/>
      <c r="X19" s="211"/>
      <c r="Y19" s="209"/>
      <c r="Z19" s="207"/>
      <c r="AA19" s="207"/>
      <c r="AB19" s="203"/>
    </row>
    <row r="20" spans="1:28" ht="15.6" x14ac:dyDescent="0.3">
      <c r="A20" s="200">
        <v>8</v>
      </c>
      <c r="B20" s="204"/>
      <c r="C20" s="206"/>
      <c r="D20" s="208"/>
      <c r="E20" s="206"/>
      <c r="F20" s="206"/>
      <c r="G20" s="206">
        <f t="shared" ref="G20" si="21">C20*50</f>
        <v>0</v>
      </c>
      <c r="H20" s="200">
        <v>8</v>
      </c>
      <c r="I20" s="210"/>
      <c r="J20" s="210"/>
      <c r="K20" s="79"/>
      <c r="L20" s="79"/>
      <c r="M20" s="79"/>
      <c r="N20" s="217">
        <f t="shared" si="20"/>
        <v>0</v>
      </c>
      <c r="O20" s="200"/>
      <c r="P20" s="210"/>
      <c r="Q20" s="210"/>
      <c r="R20" s="208"/>
      <c r="S20" s="206"/>
      <c r="T20" s="206"/>
      <c r="U20" s="203"/>
      <c r="V20" s="200"/>
      <c r="W20" s="210"/>
      <c r="X20" s="210"/>
      <c r="Y20" s="208"/>
      <c r="Z20" s="206"/>
      <c r="AA20" s="206"/>
      <c r="AB20" s="203"/>
    </row>
    <row r="21" spans="1:28" ht="15.6" x14ac:dyDescent="0.3">
      <c r="A21" s="200"/>
      <c r="B21" s="205"/>
      <c r="C21" s="207"/>
      <c r="D21" s="209"/>
      <c r="E21" s="207"/>
      <c r="F21" s="207"/>
      <c r="G21" s="207"/>
      <c r="H21" s="200"/>
      <c r="I21" s="211"/>
      <c r="J21" s="211"/>
      <c r="K21" s="80"/>
      <c r="L21" s="80"/>
      <c r="M21" s="80"/>
      <c r="N21" s="217"/>
      <c r="O21" s="200"/>
      <c r="P21" s="211"/>
      <c r="Q21" s="211"/>
      <c r="R21" s="209"/>
      <c r="S21" s="207"/>
      <c r="T21" s="207"/>
      <c r="U21" s="203"/>
      <c r="V21" s="200"/>
      <c r="W21" s="211"/>
      <c r="X21" s="211"/>
      <c r="Y21" s="209"/>
      <c r="Z21" s="207"/>
      <c r="AA21" s="207"/>
      <c r="AB21" s="203"/>
    </row>
    <row r="22" spans="1:28" ht="15.6" x14ac:dyDescent="0.3">
      <c r="A22" s="16"/>
      <c r="B22" s="41" t="s">
        <v>43</v>
      </c>
      <c r="C22" s="60">
        <f>SUM(C6:C21)</f>
        <v>0</v>
      </c>
      <c r="D22" s="214"/>
      <c r="E22" s="215"/>
      <c r="F22" s="216"/>
      <c r="G22" s="60">
        <f>SUM(G6:G21)</f>
        <v>0</v>
      </c>
      <c r="H22" s="16"/>
      <c r="I22" s="41" t="s">
        <v>43</v>
      </c>
      <c r="J22" s="60">
        <f>SUM(J6:J21)</f>
        <v>0</v>
      </c>
      <c r="K22" s="214"/>
      <c r="L22" s="215"/>
      <c r="M22" s="216"/>
      <c r="N22" s="60">
        <f>SUM(N6:N21)</f>
        <v>0</v>
      </c>
      <c r="O22" s="16"/>
      <c r="P22" s="41" t="s">
        <v>43</v>
      </c>
      <c r="Q22" s="60">
        <f>SUM(Q6:Q21)</f>
        <v>0</v>
      </c>
      <c r="R22" s="214"/>
      <c r="S22" s="215"/>
      <c r="T22" s="216"/>
      <c r="U22" s="60">
        <f>SUM(U6:U21)</f>
        <v>0</v>
      </c>
      <c r="V22" s="16"/>
      <c r="W22" s="41" t="s">
        <v>43</v>
      </c>
      <c r="X22" s="60">
        <f>SUM(X6:X21)</f>
        <v>0</v>
      </c>
      <c r="Y22" s="214"/>
      <c r="Z22" s="215"/>
      <c r="AA22" s="216"/>
      <c r="AB22" s="60">
        <f>SUM(AB6:AB21)</f>
        <v>0</v>
      </c>
    </row>
    <row r="23" spans="1:28" x14ac:dyDescent="0.2">
      <c r="A23" s="48"/>
      <c r="H23" s="48"/>
      <c r="O23" s="48"/>
      <c r="V23" s="48"/>
    </row>
    <row r="24" spans="1:28" ht="13.2" x14ac:dyDescent="0.25">
      <c r="A24" s="42" t="s">
        <v>42</v>
      </c>
      <c r="B24" s="212" t="s">
        <v>217</v>
      </c>
      <c r="C24" s="212"/>
      <c r="D24" s="212"/>
      <c r="E24" s="212"/>
      <c r="F24" s="212"/>
      <c r="H24" s="42" t="s">
        <v>42</v>
      </c>
      <c r="I24" s="212" t="s">
        <v>218</v>
      </c>
      <c r="J24" s="212"/>
      <c r="K24" s="212"/>
      <c r="L24" s="212"/>
      <c r="M24" s="212"/>
      <c r="O24" s="42" t="s">
        <v>42</v>
      </c>
      <c r="P24" s="212" t="s">
        <v>219</v>
      </c>
      <c r="Q24" s="212"/>
      <c r="R24" s="212"/>
      <c r="S24" s="212"/>
      <c r="T24" s="212"/>
      <c r="V24" s="42" t="s">
        <v>42</v>
      </c>
      <c r="W24" s="212"/>
      <c r="X24" s="212"/>
      <c r="Y24" s="212"/>
      <c r="Z24" s="212"/>
      <c r="AA24" s="212"/>
    </row>
    <row r="26" spans="1:28" x14ac:dyDescent="0.2">
      <c r="F26" s="171" t="s">
        <v>41</v>
      </c>
      <c r="M26" s="171" t="s">
        <v>41</v>
      </c>
      <c r="T26" s="171" t="s">
        <v>41</v>
      </c>
      <c r="AA26" s="171" t="s">
        <v>41</v>
      </c>
    </row>
    <row r="27" spans="1:28" x14ac:dyDescent="0.2">
      <c r="F27" s="172"/>
      <c r="M27" s="172"/>
      <c r="T27" s="172"/>
      <c r="AA27" s="172"/>
    </row>
    <row r="28" spans="1:28" ht="13.2" x14ac:dyDescent="0.25">
      <c r="A28" s="26" t="s">
        <v>33</v>
      </c>
      <c r="F28" s="172"/>
      <c r="H28" s="26" t="s">
        <v>33</v>
      </c>
      <c r="M28" s="172"/>
      <c r="O28" s="26" t="s">
        <v>33</v>
      </c>
      <c r="T28" s="172"/>
      <c r="V28" s="26" t="s">
        <v>33</v>
      </c>
      <c r="AA28" s="172"/>
    </row>
    <row r="29" spans="1:28" ht="13.2" x14ac:dyDescent="0.25">
      <c r="A29" s="46" t="s">
        <v>32</v>
      </c>
      <c r="F29" s="213"/>
      <c r="H29" s="46" t="s">
        <v>32</v>
      </c>
      <c r="M29" s="213"/>
      <c r="O29" s="46" t="s">
        <v>32</v>
      </c>
      <c r="T29" s="213"/>
      <c r="V29" s="46" t="s">
        <v>32</v>
      </c>
      <c r="AA29" s="213"/>
    </row>
    <row r="30" spans="1:28" x14ac:dyDescent="0.2">
      <c r="E30" t="s">
        <v>40</v>
      </c>
      <c r="F30" s="40"/>
      <c r="L30" t="s">
        <v>40</v>
      </c>
      <c r="M30" s="40"/>
      <c r="S30" t="s">
        <v>40</v>
      </c>
      <c r="T30" s="40"/>
      <c r="Z30" t="s">
        <v>40</v>
      </c>
      <c r="AA30" s="40"/>
    </row>
    <row r="31" spans="1:28" ht="13.2" x14ac:dyDescent="0.25">
      <c r="A31" s="42" t="s">
        <v>39</v>
      </c>
      <c r="B31" s="42"/>
      <c r="C31" s="42"/>
      <c r="D31" s="42"/>
      <c r="E31" s="42"/>
      <c r="F31" s="42"/>
      <c r="G31" s="42"/>
      <c r="H31" s="42" t="s">
        <v>39</v>
      </c>
      <c r="I31" s="42"/>
      <c r="J31" s="42"/>
      <c r="K31" s="42"/>
      <c r="L31" s="42"/>
      <c r="M31" s="42"/>
      <c r="N31" s="42"/>
      <c r="O31" s="42" t="s">
        <v>39</v>
      </c>
      <c r="P31" s="42"/>
      <c r="Q31" s="42"/>
      <c r="R31" s="42"/>
      <c r="S31" s="42"/>
      <c r="T31" s="42"/>
      <c r="U31" s="42"/>
      <c r="V31" s="42" t="s">
        <v>39</v>
      </c>
      <c r="W31" s="42"/>
      <c r="X31" s="42"/>
      <c r="Y31" s="42"/>
      <c r="Z31" s="42"/>
      <c r="AA31" s="42"/>
      <c r="AB31" s="42"/>
    </row>
    <row r="32" spans="1:28" ht="13.2" x14ac:dyDescent="0.25">
      <c r="A32" s="42" t="s">
        <v>38</v>
      </c>
      <c r="H32" s="42" t="s">
        <v>38</v>
      </c>
      <c r="O32" s="42" t="s">
        <v>38</v>
      </c>
      <c r="V32" s="42" t="s">
        <v>38</v>
      </c>
    </row>
    <row r="33" spans="1:26" ht="13.2" x14ac:dyDescent="0.25">
      <c r="A33" s="42" t="s">
        <v>37</v>
      </c>
      <c r="H33" s="42" t="s">
        <v>37</v>
      </c>
      <c r="O33" s="42" t="s">
        <v>37</v>
      </c>
      <c r="V33" s="42" t="s">
        <v>37</v>
      </c>
    </row>
    <row r="34" spans="1:26" ht="13.2" x14ac:dyDescent="0.25">
      <c r="A34" s="42" t="s">
        <v>36</v>
      </c>
      <c r="H34" s="42" t="s">
        <v>36</v>
      </c>
      <c r="O34" s="42" t="s">
        <v>36</v>
      </c>
      <c r="V34" s="42" t="s">
        <v>36</v>
      </c>
    </row>
    <row r="35" spans="1:26" ht="13.2" x14ac:dyDescent="0.25">
      <c r="A35" s="42" t="s">
        <v>35</v>
      </c>
      <c r="H35" s="42" t="s">
        <v>35</v>
      </c>
      <c r="O35" s="42" t="s">
        <v>35</v>
      </c>
      <c r="V35" s="42" t="s">
        <v>35</v>
      </c>
    </row>
    <row r="36" spans="1:26" ht="13.2" x14ac:dyDescent="0.25">
      <c r="A36" s="42" t="s">
        <v>34</v>
      </c>
      <c r="H36" s="42" t="s">
        <v>34</v>
      </c>
      <c r="O36" s="42" t="s">
        <v>34</v>
      </c>
      <c r="V36" s="42" t="s">
        <v>34</v>
      </c>
    </row>
    <row r="38" spans="1:26" ht="13.2" x14ac:dyDescent="0.25">
      <c r="A38" s="26" t="s">
        <v>33</v>
      </c>
      <c r="H38" s="26" t="s">
        <v>33</v>
      </c>
      <c r="O38" s="26" t="s">
        <v>33</v>
      </c>
      <c r="V38" s="26" t="s">
        <v>33</v>
      </c>
    </row>
    <row r="39" spans="1:26" ht="13.2" x14ac:dyDescent="0.25">
      <c r="A39" s="46" t="s">
        <v>32</v>
      </c>
      <c r="E39" t="s">
        <v>31</v>
      </c>
      <c r="H39" s="46" t="s">
        <v>32</v>
      </c>
      <c r="L39" t="s">
        <v>31</v>
      </c>
      <c r="O39" s="46" t="s">
        <v>32</v>
      </c>
      <c r="S39" t="s">
        <v>31</v>
      </c>
      <c r="V39" s="46" t="s">
        <v>32</v>
      </c>
      <c r="Z39" t="s">
        <v>31</v>
      </c>
    </row>
    <row r="41" spans="1:26" ht="13.2" x14ac:dyDescent="0.25">
      <c r="C41" t="s">
        <v>30</v>
      </c>
      <c r="J41" t="s">
        <v>30</v>
      </c>
      <c r="Q41" t="s">
        <v>30</v>
      </c>
      <c r="X41" t="s">
        <v>30</v>
      </c>
    </row>
    <row r="42" spans="1:26" x14ac:dyDescent="0.2">
      <c r="C42" t="s">
        <v>29</v>
      </c>
      <c r="J42" t="s">
        <v>29</v>
      </c>
      <c r="Q42" t="s">
        <v>29</v>
      </c>
      <c r="X42" t="s">
        <v>29</v>
      </c>
    </row>
    <row r="43" spans="1:26" ht="15" x14ac:dyDescent="0.25">
      <c r="A43" s="45"/>
      <c r="H43" s="45"/>
      <c r="O43" s="45"/>
    </row>
    <row r="44" spans="1:26" ht="15" x14ac:dyDescent="0.25">
      <c r="A44" s="44"/>
      <c r="B44" s="2"/>
      <c r="C44" s="2"/>
      <c r="D44" s="2"/>
      <c r="E44" s="2"/>
      <c r="F44" s="2"/>
      <c r="G44" s="2"/>
      <c r="H44" s="44"/>
      <c r="I44" s="2"/>
      <c r="J44" s="2"/>
      <c r="K44" s="2"/>
      <c r="L44" s="2"/>
      <c r="M44" s="2"/>
      <c r="N44" s="2"/>
      <c r="O44" s="44"/>
      <c r="P44" s="2"/>
      <c r="Q44" s="2"/>
      <c r="R44" s="2"/>
      <c r="S44" s="2"/>
      <c r="T44" s="2"/>
      <c r="U44" s="2"/>
    </row>
    <row r="45" spans="1:26" x14ac:dyDescent="0.2">
      <c r="D45" s="43" t="s">
        <v>28</v>
      </c>
      <c r="K45" s="43" t="s">
        <v>28</v>
      </c>
      <c r="R45" s="43" t="s">
        <v>28</v>
      </c>
    </row>
    <row r="46" spans="1:26" ht="13.2" x14ac:dyDescent="0.25">
      <c r="A46" s="42" t="s">
        <v>27</v>
      </c>
      <c r="H46" s="42" t="s">
        <v>27</v>
      </c>
      <c r="O46" s="42" t="s">
        <v>27</v>
      </c>
    </row>
    <row r="47" spans="1:26" ht="13.2" x14ac:dyDescent="0.25">
      <c r="A47" s="42" t="s">
        <v>26</v>
      </c>
      <c r="H47" s="42" t="s">
        <v>26</v>
      </c>
      <c r="O47" s="42" t="s">
        <v>26</v>
      </c>
    </row>
    <row r="48" spans="1:26" ht="13.2" x14ac:dyDescent="0.25">
      <c r="A48" s="42" t="s">
        <v>25</v>
      </c>
      <c r="H48" s="42" t="s">
        <v>25</v>
      </c>
      <c r="O48" s="42" t="s">
        <v>25</v>
      </c>
    </row>
    <row r="53" spans="1:21" ht="15.6" x14ac:dyDescent="0.3">
      <c r="A53" s="198" t="s">
        <v>52</v>
      </c>
      <c r="B53" s="198"/>
      <c r="C53" s="198"/>
      <c r="D53" s="198"/>
      <c r="E53" s="198"/>
      <c r="F53" s="198"/>
      <c r="G53" s="198"/>
      <c r="H53" s="198" t="s">
        <v>52</v>
      </c>
      <c r="I53" s="198"/>
      <c r="J53" s="198"/>
      <c r="K53" s="198"/>
      <c r="L53" s="198"/>
      <c r="M53" s="198"/>
      <c r="N53" s="198"/>
      <c r="O53" s="198" t="s">
        <v>52</v>
      </c>
      <c r="P53" s="198"/>
      <c r="Q53" s="198"/>
      <c r="R53" s="198"/>
      <c r="S53" s="198"/>
      <c r="T53" s="198"/>
      <c r="U53" s="198"/>
    </row>
    <row r="54" spans="1:21" ht="15" x14ac:dyDescent="0.25">
      <c r="A54" s="45" t="s">
        <v>51</v>
      </c>
      <c r="H54" s="45" t="s">
        <v>51</v>
      </c>
      <c r="O54" s="45" t="s">
        <v>51</v>
      </c>
    </row>
    <row r="55" spans="1:21" ht="15.6" x14ac:dyDescent="0.3">
      <c r="A55" s="45" t="s">
        <v>59</v>
      </c>
      <c r="B55" t="s">
        <v>255</v>
      </c>
      <c r="C55" t="s">
        <v>256</v>
      </c>
      <c r="D55" s="199" t="s">
        <v>211</v>
      </c>
      <c r="E55" s="199"/>
      <c r="F55" s="199"/>
      <c r="H55" s="45" t="s">
        <v>59</v>
      </c>
      <c r="I55" t="s">
        <v>255</v>
      </c>
      <c r="J55" t="s">
        <v>256</v>
      </c>
      <c r="K55" s="199" t="s">
        <v>210</v>
      </c>
      <c r="L55" s="199"/>
      <c r="M55" s="199"/>
      <c r="O55" s="45" t="s">
        <v>59</v>
      </c>
      <c r="P55" t="s">
        <v>255</v>
      </c>
      <c r="Q55" t="s">
        <v>256</v>
      </c>
      <c r="R55" s="199" t="s">
        <v>209</v>
      </c>
      <c r="S55" s="199"/>
      <c r="T55" s="199"/>
    </row>
    <row r="56" spans="1:21" ht="15" x14ac:dyDescent="0.25">
      <c r="A56" s="45"/>
      <c r="H56" s="45"/>
      <c r="O56" s="45"/>
    </row>
    <row r="57" spans="1:21" ht="105.6" x14ac:dyDescent="0.25">
      <c r="A57" s="27" t="s">
        <v>50</v>
      </c>
      <c r="B57" s="14" t="s">
        <v>49</v>
      </c>
      <c r="C57" s="14" t="s">
        <v>48</v>
      </c>
      <c r="D57" s="49" t="s">
        <v>47</v>
      </c>
      <c r="E57" s="49" t="s">
        <v>46</v>
      </c>
      <c r="F57" s="49" t="s">
        <v>45</v>
      </c>
      <c r="G57" s="27" t="s">
        <v>44</v>
      </c>
      <c r="H57" s="27" t="s">
        <v>50</v>
      </c>
      <c r="I57" s="14" t="s">
        <v>49</v>
      </c>
      <c r="J57" s="14" t="s">
        <v>48</v>
      </c>
      <c r="K57" s="49" t="s">
        <v>47</v>
      </c>
      <c r="L57" s="49" t="s">
        <v>46</v>
      </c>
      <c r="M57" s="49" t="s">
        <v>45</v>
      </c>
      <c r="N57" s="27" t="s">
        <v>44</v>
      </c>
      <c r="O57" s="27" t="s">
        <v>50</v>
      </c>
      <c r="P57" s="14" t="s">
        <v>49</v>
      </c>
      <c r="Q57" s="14" t="s">
        <v>48</v>
      </c>
      <c r="R57" s="49" t="s">
        <v>47</v>
      </c>
      <c r="S57" s="49" t="s">
        <v>46</v>
      </c>
      <c r="T57" s="49" t="s">
        <v>45</v>
      </c>
      <c r="U57" s="27" t="s">
        <v>44</v>
      </c>
    </row>
    <row r="58" spans="1:21" ht="15.6" x14ac:dyDescent="0.3">
      <c r="A58" s="200">
        <v>1</v>
      </c>
      <c r="B58" s="218" t="s">
        <v>220</v>
      </c>
      <c r="C58" s="218">
        <v>22</v>
      </c>
      <c r="D58" s="87" t="s">
        <v>221</v>
      </c>
      <c r="E58" s="100">
        <v>2</v>
      </c>
      <c r="F58" s="101">
        <v>15</v>
      </c>
      <c r="G58" s="218">
        <f>C58*50</f>
        <v>1100</v>
      </c>
      <c r="H58" s="200">
        <v>1</v>
      </c>
      <c r="I58" s="219">
        <v>45017</v>
      </c>
      <c r="J58" s="218">
        <v>22</v>
      </c>
      <c r="K58" s="79" t="s">
        <v>197</v>
      </c>
      <c r="L58" s="101">
        <v>6</v>
      </c>
      <c r="M58" s="101">
        <v>7.5</v>
      </c>
      <c r="N58" s="218">
        <f>J58*50</f>
        <v>1100</v>
      </c>
      <c r="O58" s="200">
        <v>1</v>
      </c>
      <c r="P58" s="219">
        <v>45018</v>
      </c>
      <c r="Q58" s="218">
        <v>21</v>
      </c>
      <c r="R58" s="93" t="s">
        <v>221</v>
      </c>
      <c r="S58" s="99">
        <v>3</v>
      </c>
      <c r="T58" s="99">
        <v>15</v>
      </c>
      <c r="U58" s="218">
        <f>Q58*50</f>
        <v>1050</v>
      </c>
    </row>
    <row r="59" spans="1:21" ht="15.6" x14ac:dyDescent="0.3">
      <c r="A59" s="200"/>
      <c r="B59" s="220"/>
      <c r="C59" s="218"/>
      <c r="D59" s="87" t="s">
        <v>196</v>
      </c>
      <c r="E59" s="102">
        <v>2</v>
      </c>
      <c r="F59" s="103">
        <v>10</v>
      </c>
      <c r="G59" s="218"/>
      <c r="H59" s="200"/>
      <c r="I59" s="220"/>
      <c r="J59" s="218"/>
      <c r="K59" s="80" t="s">
        <v>198</v>
      </c>
      <c r="L59" s="103">
        <v>1</v>
      </c>
      <c r="M59" s="103">
        <v>5</v>
      </c>
      <c r="N59" s="218"/>
      <c r="O59" s="200"/>
      <c r="P59" s="218"/>
      <c r="Q59" s="218"/>
      <c r="R59" s="93" t="s">
        <v>193</v>
      </c>
      <c r="S59" s="99">
        <v>1</v>
      </c>
      <c r="T59" s="99">
        <v>5</v>
      </c>
      <c r="U59" s="218"/>
    </row>
    <row r="60" spans="1:21" ht="15.6" x14ac:dyDescent="0.3">
      <c r="A60" s="200">
        <v>2</v>
      </c>
      <c r="B60" s="218" t="s">
        <v>222</v>
      </c>
      <c r="C60" s="218">
        <v>21</v>
      </c>
      <c r="D60" s="87" t="s">
        <v>223</v>
      </c>
      <c r="E60" s="100">
        <v>6</v>
      </c>
      <c r="F60" s="101">
        <v>7.5</v>
      </c>
      <c r="G60" s="218">
        <f t="shared" ref="G60" si="22">C60*50</f>
        <v>1050</v>
      </c>
      <c r="H60" s="200">
        <v>2</v>
      </c>
      <c r="I60" s="219">
        <v>45047</v>
      </c>
      <c r="J60" s="218">
        <v>21</v>
      </c>
      <c r="K60" s="61" t="s">
        <v>202</v>
      </c>
      <c r="L60" s="99">
        <v>2</v>
      </c>
      <c r="M60" s="99">
        <v>15</v>
      </c>
      <c r="N60" s="218">
        <f t="shared" ref="N60" si="23">J60*50</f>
        <v>1050</v>
      </c>
      <c r="O60" s="200">
        <v>2</v>
      </c>
      <c r="P60" s="219">
        <v>45079</v>
      </c>
      <c r="Q60" s="218">
        <v>22</v>
      </c>
      <c r="R60" s="93" t="s">
        <v>195</v>
      </c>
      <c r="S60" s="99">
        <v>2</v>
      </c>
      <c r="T60" s="99">
        <v>20</v>
      </c>
      <c r="U60" s="218">
        <f t="shared" ref="U60" si="24">Q60*50</f>
        <v>1100</v>
      </c>
    </row>
    <row r="61" spans="1:21" ht="15.6" x14ac:dyDescent="0.3">
      <c r="A61" s="200"/>
      <c r="B61" s="220"/>
      <c r="C61" s="218"/>
      <c r="D61" s="87" t="s">
        <v>198</v>
      </c>
      <c r="E61" s="102">
        <v>1</v>
      </c>
      <c r="F61" s="103">
        <v>5</v>
      </c>
      <c r="G61" s="218"/>
      <c r="H61" s="200"/>
      <c r="I61" s="220"/>
      <c r="J61" s="218"/>
      <c r="K61" s="61" t="s">
        <v>196</v>
      </c>
      <c r="L61" s="99">
        <v>2</v>
      </c>
      <c r="M61" s="99">
        <v>10</v>
      </c>
      <c r="N61" s="218"/>
      <c r="O61" s="200"/>
      <c r="P61" s="218"/>
      <c r="Q61" s="218"/>
      <c r="R61" s="93" t="s">
        <v>196</v>
      </c>
      <c r="S61" s="99">
        <v>1</v>
      </c>
      <c r="T61" s="99">
        <v>10</v>
      </c>
      <c r="U61" s="218"/>
    </row>
    <row r="62" spans="1:21" ht="15.6" x14ac:dyDescent="0.3">
      <c r="A62" s="200">
        <v>3</v>
      </c>
      <c r="B62" s="218" t="s">
        <v>224</v>
      </c>
      <c r="C62" s="218">
        <v>22</v>
      </c>
      <c r="D62" s="87" t="s">
        <v>195</v>
      </c>
      <c r="E62" s="104">
        <v>2</v>
      </c>
      <c r="F62" s="99">
        <v>20</v>
      </c>
      <c r="G62" s="218">
        <f t="shared" ref="G62" si="25">C62*50</f>
        <v>1100</v>
      </c>
      <c r="H62" s="200">
        <v>3</v>
      </c>
      <c r="I62" s="218" t="s">
        <v>225</v>
      </c>
      <c r="J62" s="218">
        <v>22</v>
      </c>
      <c r="K62" s="79" t="s">
        <v>226</v>
      </c>
      <c r="L62" s="101">
        <v>1</v>
      </c>
      <c r="M62" s="101">
        <v>40</v>
      </c>
      <c r="N62" s="218">
        <f t="shared" ref="N62" si="26">J62*50</f>
        <v>1100</v>
      </c>
      <c r="O62" s="200">
        <v>3</v>
      </c>
      <c r="P62" s="219">
        <v>45109</v>
      </c>
      <c r="Q62" s="218">
        <v>22</v>
      </c>
      <c r="R62" s="93" t="s">
        <v>226</v>
      </c>
      <c r="S62" s="99">
        <v>1</v>
      </c>
      <c r="T62" s="99">
        <v>40</v>
      </c>
      <c r="U62" s="218">
        <f t="shared" ref="U62" si="27">Q62*50</f>
        <v>1100</v>
      </c>
    </row>
    <row r="63" spans="1:21" ht="15.6" x14ac:dyDescent="0.3">
      <c r="A63" s="200"/>
      <c r="B63" s="220"/>
      <c r="C63" s="218"/>
      <c r="D63" s="87" t="s">
        <v>196</v>
      </c>
      <c r="E63" s="104">
        <v>1</v>
      </c>
      <c r="F63" s="99">
        <v>10</v>
      </c>
      <c r="G63" s="218"/>
      <c r="H63" s="200"/>
      <c r="I63" s="220"/>
      <c r="J63" s="218"/>
      <c r="K63" s="80" t="s">
        <v>193</v>
      </c>
      <c r="L63" s="103">
        <v>2</v>
      </c>
      <c r="M63" s="103">
        <v>5</v>
      </c>
      <c r="N63" s="218"/>
      <c r="O63" s="200"/>
      <c r="P63" s="218"/>
      <c r="Q63" s="218"/>
      <c r="R63" s="93" t="s">
        <v>193</v>
      </c>
      <c r="S63" s="99">
        <v>2</v>
      </c>
      <c r="T63" s="99">
        <v>5</v>
      </c>
      <c r="U63" s="218"/>
    </row>
    <row r="64" spans="1:21" ht="15.6" x14ac:dyDescent="0.3">
      <c r="A64" s="200">
        <v>4</v>
      </c>
      <c r="B64" s="218" t="s">
        <v>227</v>
      </c>
      <c r="C64" s="218">
        <v>22</v>
      </c>
      <c r="D64" s="87" t="s">
        <v>221</v>
      </c>
      <c r="E64" s="100">
        <v>3</v>
      </c>
      <c r="F64" s="101">
        <v>15</v>
      </c>
      <c r="G64" s="218">
        <f t="shared" ref="G64" si="28">C64*50</f>
        <v>1100</v>
      </c>
      <c r="H64" s="200">
        <v>4</v>
      </c>
      <c r="I64" s="218" t="s">
        <v>228</v>
      </c>
      <c r="J64" s="218">
        <v>21</v>
      </c>
      <c r="K64" s="79" t="s">
        <v>221</v>
      </c>
      <c r="L64" s="101">
        <v>2</v>
      </c>
      <c r="M64" s="101">
        <v>15</v>
      </c>
      <c r="N64" s="218">
        <f t="shared" ref="N64" si="29">J64*50</f>
        <v>1050</v>
      </c>
      <c r="O64" s="200">
        <v>4</v>
      </c>
      <c r="P64" s="219">
        <v>45140</v>
      </c>
      <c r="Q64" s="218">
        <v>22</v>
      </c>
      <c r="R64" s="93" t="s">
        <v>197</v>
      </c>
      <c r="S64" s="99">
        <v>6</v>
      </c>
      <c r="T64" s="99">
        <v>7.5</v>
      </c>
      <c r="U64" s="218">
        <f t="shared" ref="U64:U72" si="30">Q64*50</f>
        <v>1100</v>
      </c>
    </row>
    <row r="65" spans="1:24" ht="15.6" x14ac:dyDescent="0.3">
      <c r="A65" s="200"/>
      <c r="B65" s="220"/>
      <c r="C65" s="218"/>
      <c r="D65" s="87" t="s">
        <v>193</v>
      </c>
      <c r="E65" s="102">
        <v>1</v>
      </c>
      <c r="F65" s="103">
        <v>5</v>
      </c>
      <c r="G65" s="218"/>
      <c r="H65" s="200"/>
      <c r="I65" s="220"/>
      <c r="J65" s="218"/>
      <c r="K65" s="80" t="s">
        <v>196</v>
      </c>
      <c r="L65" s="103">
        <v>2</v>
      </c>
      <c r="M65" s="103">
        <v>10</v>
      </c>
      <c r="N65" s="218"/>
      <c r="O65" s="200"/>
      <c r="P65" s="218"/>
      <c r="Q65" s="218"/>
      <c r="R65" s="93" t="s">
        <v>198</v>
      </c>
      <c r="S65" s="99">
        <v>1</v>
      </c>
      <c r="T65" s="99">
        <v>5</v>
      </c>
      <c r="U65" s="218"/>
    </row>
    <row r="66" spans="1:24" ht="15.6" x14ac:dyDescent="0.3">
      <c r="A66" s="200">
        <v>5</v>
      </c>
      <c r="B66" s="218" t="s">
        <v>229</v>
      </c>
      <c r="C66" s="218">
        <v>22</v>
      </c>
      <c r="D66" s="87" t="s">
        <v>226</v>
      </c>
      <c r="E66" s="100">
        <v>1</v>
      </c>
      <c r="F66" s="101">
        <v>40</v>
      </c>
      <c r="G66" s="218">
        <f t="shared" ref="G66:G70" si="31">C66*50</f>
        <v>1100</v>
      </c>
      <c r="H66" s="200">
        <v>5</v>
      </c>
      <c r="I66" s="218" t="s">
        <v>230</v>
      </c>
      <c r="J66" s="218">
        <v>21</v>
      </c>
      <c r="K66" s="61" t="s">
        <v>195</v>
      </c>
      <c r="L66" s="99">
        <v>2</v>
      </c>
      <c r="M66" s="99">
        <v>20</v>
      </c>
      <c r="N66" s="218">
        <f t="shared" ref="N66" si="32">J66*50</f>
        <v>1050</v>
      </c>
      <c r="O66" s="200">
        <v>5</v>
      </c>
      <c r="P66" s="219">
        <v>45171</v>
      </c>
      <c r="Q66" s="218">
        <v>22</v>
      </c>
      <c r="R66" s="93" t="s">
        <v>221</v>
      </c>
      <c r="S66" s="99">
        <v>2</v>
      </c>
      <c r="T66" s="99">
        <v>15</v>
      </c>
      <c r="U66" s="218">
        <f t="shared" si="30"/>
        <v>1100</v>
      </c>
    </row>
    <row r="67" spans="1:24" ht="15.6" x14ac:dyDescent="0.3">
      <c r="A67" s="200"/>
      <c r="B67" s="220"/>
      <c r="C67" s="218"/>
      <c r="D67" s="87" t="s">
        <v>196</v>
      </c>
      <c r="E67" s="102">
        <v>1</v>
      </c>
      <c r="F67" s="103">
        <v>10</v>
      </c>
      <c r="G67" s="218"/>
      <c r="H67" s="200"/>
      <c r="I67" s="220"/>
      <c r="J67" s="218"/>
      <c r="K67" s="61" t="s">
        <v>193</v>
      </c>
      <c r="L67" s="99">
        <v>1</v>
      </c>
      <c r="M67" s="99">
        <v>10</v>
      </c>
      <c r="N67" s="218"/>
      <c r="O67" s="200"/>
      <c r="P67" s="218"/>
      <c r="Q67" s="218"/>
      <c r="R67" s="93" t="s">
        <v>196</v>
      </c>
      <c r="S67" s="99">
        <v>2</v>
      </c>
      <c r="T67" s="99">
        <v>10</v>
      </c>
      <c r="U67" s="218"/>
    </row>
    <row r="68" spans="1:24" ht="15.6" x14ac:dyDescent="0.3">
      <c r="A68" s="200">
        <v>6</v>
      </c>
      <c r="B68" s="218" t="s">
        <v>231</v>
      </c>
      <c r="C68" s="218">
        <v>21</v>
      </c>
      <c r="D68" s="87" t="s">
        <v>202</v>
      </c>
      <c r="E68" s="100">
        <v>3</v>
      </c>
      <c r="F68" s="101">
        <v>15</v>
      </c>
      <c r="G68" s="221">
        <f t="shared" si="31"/>
        <v>1050</v>
      </c>
      <c r="H68" s="200">
        <v>6</v>
      </c>
      <c r="I68" s="218" t="s">
        <v>232</v>
      </c>
      <c r="J68" s="221">
        <v>22</v>
      </c>
      <c r="K68" s="79" t="s">
        <v>197</v>
      </c>
      <c r="L68" s="101">
        <v>6</v>
      </c>
      <c r="M68" s="101">
        <v>7.5</v>
      </c>
      <c r="N68" s="218">
        <f t="shared" ref="N68" si="33">J68*50</f>
        <v>1100</v>
      </c>
      <c r="O68" s="200">
        <v>6</v>
      </c>
      <c r="P68" s="219">
        <v>45201</v>
      </c>
      <c r="Q68" s="218">
        <v>22</v>
      </c>
      <c r="R68" s="93" t="s">
        <v>202</v>
      </c>
      <c r="S68" s="99">
        <v>3</v>
      </c>
      <c r="T68" s="99">
        <v>15</v>
      </c>
      <c r="U68" s="218">
        <f t="shared" si="30"/>
        <v>1100</v>
      </c>
    </row>
    <row r="69" spans="1:24" ht="15.6" x14ac:dyDescent="0.3">
      <c r="A69" s="200"/>
      <c r="B69" s="220"/>
      <c r="C69" s="218"/>
      <c r="D69" s="87" t="s">
        <v>198</v>
      </c>
      <c r="E69" s="102">
        <v>1</v>
      </c>
      <c r="F69" s="103">
        <v>5</v>
      </c>
      <c r="G69" s="222"/>
      <c r="H69" s="200"/>
      <c r="I69" s="220"/>
      <c r="J69" s="222"/>
      <c r="K69" s="80" t="s">
        <v>193</v>
      </c>
      <c r="L69" s="103">
        <v>2</v>
      </c>
      <c r="M69" s="103">
        <v>5</v>
      </c>
      <c r="N69" s="218"/>
      <c r="O69" s="200"/>
      <c r="P69" s="218"/>
      <c r="Q69" s="218"/>
      <c r="R69" s="93" t="s">
        <v>198</v>
      </c>
      <c r="S69" s="99">
        <v>1</v>
      </c>
      <c r="T69" s="99">
        <v>5</v>
      </c>
      <c r="U69" s="218"/>
    </row>
    <row r="70" spans="1:24" ht="15.6" x14ac:dyDescent="0.3">
      <c r="A70" s="200">
        <v>7</v>
      </c>
      <c r="B70" s="218" t="s">
        <v>233</v>
      </c>
      <c r="C70" s="218">
        <v>22</v>
      </c>
      <c r="D70" s="87" t="s">
        <v>195</v>
      </c>
      <c r="E70" s="100">
        <v>2</v>
      </c>
      <c r="F70" s="101">
        <v>20</v>
      </c>
      <c r="G70" s="221">
        <f t="shared" si="31"/>
        <v>1100</v>
      </c>
      <c r="H70" s="200">
        <v>7</v>
      </c>
      <c r="I70" s="218" t="s">
        <v>234</v>
      </c>
      <c r="J70" s="221">
        <v>22</v>
      </c>
      <c r="K70" s="61" t="s">
        <v>226</v>
      </c>
      <c r="L70" s="99">
        <v>1</v>
      </c>
      <c r="M70" s="99">
        <v>40</v>
      </c>
      <c r="N70" s="218">
        <f>J70*50</f>
        <v>1100</v>
      </c>
      <c r="O70" s="200">
        <v>7</v>
      </c>
      <c r="P70" s="218" t="s">
        <v>235</v>
      </c>
      <c r="Q70" s="218">
        <v>22</v>
      </c>
      <c r="R70" s="93" t="s">
        <v>195</v>
      </c>
      <c r="S70" s="99">
        <v>2</v>
      </c>
      <c r="T70" s="99">
        <v>20</v>
      </c>
      <c r="U70" s="218">
        <f t="shared" si="30"/>
        <v>1100</v>
      </c>
    </row>
    <row r="71" spans="1:24" ht="15.6" x14ac:dyDescent="0.3">
      <c r="A71" s="200"/>
      <c r="B71" s="220"/>
      <c r="C71" s="218"/>
      <c r="D71" s="87" t="s">
        <v>196</v>
      </c>
      <c r="E71" s="102">
        <v>1</v>
      </c>
      <c r="F71" s="103">
        <v>10</v>
      </c>
      <c r="G71" s="222"/>
      <c r="H71" s="200"/>
      <c r="I71" s="220"/>
      <c r="J71" s="222"/>
      <c r="K71" s="61" t="s">
        <v>196</v>
      </c>
      <c r="L71" s="99">
        <v>1</v>
      </c>
      <c r="M71" s="99">
        <v>10</v>
      </c>
      <c r="N71" s="218"/>
      <c r="O71" s="200"/>
      <c r="P71" s="218"/>
      <c r="Q71" s="218"/>
      <c r="R71" s="93" t="s">
        <v>193</v>
      </c>
      <c r="S71" s="99">
        <v>2</v>
      </c>
      <c r="T71" s="99">
        <v>5</v>
      </c>
      <c r="U71" s="218"/>
    </row>
    <row r="72" spans="1:24" ht="15.6" x14ac:dyDescent="0.3">
      <c r="A72" s="200"/>
      <c r="B72" s="201"/>
      <c r="C72" s="202"/>
      <c r="D72" s="210"/>
      <c r="E72" s="210"/>
      <c r="F72" s="210"/>
      <c r="G72" s="171"/>
      <c r="H72" s="200">
        <v>8</v>
      </c>
      <c r="I72" s="218" t="s">
        <v>236</v>
      </c>
      <c r="J72" s="221">
        <v>21</v>
      </c>
      <c r="K72" s="61" t="s">
        <v>195</v>
      </c>
      <c r="L72" s="99">
        <v>2</v>
      </c>
      <c r="M72" s="99">
        <v>20</v>
      </c>
      <c r="N72" s="218">
        <f>J72*50</f>
        <v>1050</v>
      </c>
      <c r="O72" s="200">
        <v>8</v>
      </c>
      <c r="P72" s="218" t="s">
        <v>237</v>
      </c>
      <c r="Q72" s="218">
        <v>22</v>
      </c>
      <c r="R72" s="93" t="s">
        <v>197</v>
      </c>
      <c r="S72" s="99">
        <v>6</v>
      </c>
      <c r="T72" s="99">
        <v>7.5</v>
      </c>
      <c r="U72" s="223">
        <f t="shared" si="30"/>
        <v>1100</v>
      </c>
    </row>
    <row r="73" spans="1:24" ht="15.6" x14ac:dyDescent="0.3">
      <c r="A73" s="200"/>
      <c r="B73" s="202"/>
      <c r="C73" s="202"/>
      <c r="D73" s="211"/>
      <c r="E73" s="211"/>
      <c r="F73" s="211"/>
      <c r="G73" s="213"/>
      <c r="H73" s="200"/>
      <c r="I73" s="220"/>
      <c r="J73" s="222"/>
      <c r="K73" s="61" t="s">
        <v>196</v>
      </c>
      <c r="L73" s="99">
        <v>1</v>
      </c>
      <c r="M73" s="99">
        <v>10</v>
      </c>
      <c r="N73" s="218"/>
      <c r="O73" s="200"/>
      <c r="P73" s="218"/>
      <c r="Q73" s="218"/>
      <c r="R73" s="93" t="s">
        <v>198</v>
      </c>
      <c r="S73" s="99">
        <v>1</v>
      </c>
      <c r="T73" s="99">
        <v>5</v>
      </c>
      <c r="U73" s="223"/>
      <c r="W73" s="47" t="s">
        <v>22</v>
      </c>
      <c r="X73" s="47"/>
    </row>
    <row r="74" spans="1:24" ht="15.6" x14ac:dyDescent="0.3">
      <c r="A74" s="16"/>
      <c r="B74" s="41" t="s">
        <v>43</v>
      </c>
      <c r="C74" s="99">
        <f>SUM(C58:C73)</f>
        <v>152</v>
      </c>
      <c r="D74" s="214"/>
      <c r="E74" s="215"/>
      <c r="F74" s="216"/>
      <c r="G74" s="99">
        <f>SUM(G58:G73)</f>
        <v>7600</v>
      </c>
      <c r="H74" s="16"/>
      <c r="I74" s="41" t="s">
        <v>43</v>
      </c>
      <c r="J74" s="99">
        <f>SUM(J58:J73)</f>
        <v>172</v>
      </c>
      <c r="K74" s="214"/>
      <c r="L74" s="215"/>
      <c r="M74" s="216"/>
      <c r="N74" s="108">
        <f>SUM(N58:N73)</f>
        <v>8600</v>
      </c>
      <c r="O74" s="16">
        <v>9</v>
      </c>
      <c r="P74" s="109" t="s">
        <v>238</v>
      </c>
      <c r="Q74" s="99">
        <v>22</v>
      </c>
      <c r="R74" s="93" t="s">
        <v>239</v>
      </c>
      <c r="S74" s="111" t="s">
        <v>199</v>
      </c>
      <c r="T74" s="111" t="s">
        <v>200</v>
      </c>
      <c r="U74" s="99">
        <f>Q74*50</f>
        <v>1100</v>
      </c>
      <c r="W74" s="47">
        <f>SUM(C22,J22,Q22,C74,J74,Q74)</f>
        <v>346</v>
      </c>
      <c r="X74" s="47">
        <f>SUM(G22,N22,U22,G74,N74,U74)</f>
        <v>17300</v>
      </c>
    </row>
    <row r="75" spans="1:24" ht="15.6" x14ac:dyDescent="0.3">
      <c r="A75" s="48"/>
      <c r="B75" s="40"/>
      <c r="C75" s="94"/>
      <c r="D75" s="48"/>
      <c r="E75" s="48"/>
      <c r="F75" s="48"/>
      <c r="G75" s="94"/>
      <c r="H75" s="48"/>
      <c r="I75" s="40"/>
      <c r="J75" s="94"/>
      <c r="K75" s="48"/>
      <c r="L75" s="48"/>
      <c r="M75" s="48"/>
      <c r="N75" s="94"/>
      <c r="O75" s="16">
        <v>10</v>
      </c>
      <c r="P75" s="109" t="s">
        <v>240</v>
      </c>
      <c r="Q75" s="99">
        <v>22</v>
      </c>
      <c r="R75" s="93" t="s">
        <v>187</v>
      </c>
      <c r="S75" s="111" t="s">
        <v>188</v>
      </c>
      <c r="T75" s="111" t="s">
        <v>189</v>
      </c>
      <c r="U75" s="99">
        <f t="shared" ref="U75:U80" si="34">Q75*50</f>
        <v>1100</v>
      </c>
      <c r="W75" s="47"/>
      <c r="X75" s="47"/>
    </row>
    <row r="76" spans="1:24" ht="15.6" x14ac:dyDescent="0.3">
      <c r="A76" s="48"/>
      <c r="B76" s="40"/>
      <c r="C76" s="94"/>
      <c r="D76" s="48"/>
      <c r="E76" s="48"/>
      <c r="F76" s="48"/>
      <c r="G76" s="94"/>
      <c r="H76" s="48"/>
      <c r="I76" s="40"/>
      <c r="J76" s="94"/>
      <c r="K76" s="48"/>
      <c r="L76" s="48"/>
      <c r="M76" s="48"/>
      <c r="N76" s="94"/>
      <c r="O76" s="16">
        <v>11</v>
      </c>
      <c r="P76" s="109" t="s">
        <v>241</v>
      </c>
      <c r="Q76" s="99">
        <v>22</v>
      </c>
      <c r="R76" s="93" t="s">
        <v>242</v>
      </c>
      <c r="S76" s="111" t="s">
        <v>184</v>
      </c>
      <c r="T76" s="111" t="s">
        <v>191</v>
      </c>
      <c r="U76" s="99">
        <f t="shared" si="34"/>
        <v>1100</v>
      </c>
      <c r="W76" s="47"/>
      <c r="X76" s="47"/>
    </row>
    <row r="77" spans="1:24" ht="15.6" x14ac:dyDescent="0.3">
      <c r="A77" s="48"/>
      <c r="B77" s="40"/>
      <c r="C77" s="94"/>
      <c r="D77" s="48"/>
      <c r="E77" s="48"/>
      <c r="F77" s="48"/>
      <c r="G77" s="94"/>
      <c r="H77" s="48"/>
      <c r="I77" s="40"/>
      <c r="J77" s="94"/>
      <c r="K77" s="48"/>
      <c r="L77" s="48"/>
      <c r="M77" s="48"/>
      <c r="N77" s="94"/>
      <c r="O77" s="16">
        <v>12</v>
      </c>
      <c r="P77" s="109" t="s">
        <v>243</v>
      </c>
      <c r="Q77" s="99">
        <v>22</v>
      </c>
      <c r="R77" s="93" t="s">
        <v>201</v>
      </c>
      <c r="S77" s="111" t="s">
        <v>184</v>
      </c>
      <c r="T77" s="111" t="s">
        <v>244</v>
      </c>
      <c r="U77" s="99">
        <f t="shared" si="34"/>
        <v>1100</v>
      </c>
      <c r="W77" s="47"/>
      <c r="X77" s="47"/>
    </row>
    <row r="78" spans="1:24" ht="15.6" x14ac:dyDescent="0.3">
      <c r="A78" s="48"/>
      <c r="B78" s="40"/>
      <c r="C78" s="94"/>
      <c r="D78" s="48"/>
      <c r="E78" s="48"/>
      <c r="F78" s="48"/>
      <c r="G78" s="94"/>
      <c r="H78" s="48"/>
      <c r="I78" s="40"/>
      <c r="J78" s="94"/>
      <c r="K78" s="48"/>
      <c r="L78" s="98">
        <f>G74+N74+U81</f>
        <v>32650</v>
      </c>
      <c r="M78" s="48"/>
      <c r="N78" s="94"/>
      <c r="O78" s="16">
        <v>13</v>
      </c>
      <c r="P78" s="109" t="s">
        <v>245</v>
      </c>
      <c r="Q78" s="99">
        <v>22</v>
      </c>
      <c r="R78" s="93" t="s">
        <v>194</v>
      </c>
      <c r="S78" s="111" t="s">
        <v>186</v>
      </c>
      <c r="T78" s="111" t="s">
        <v>192</v>
      </c>
      <c r="U78" s="99">
        <f t="shared" si="34"/>
        <v>1100</v>
      </c>
      <c r="W78" s="47"/>
      <c r="X78" s="47"/>
    </row>
    <row r="79" spans="1:24" ht="15.6" x14ac:dyDescent="0.3">
      <c r="A79" s="48"/>
      <c r="B79" s="40"/>
      <c r="C79" s="94"/>
      <c r="D79" s="48"/>
      <c r="E79" s="48"/>
      <c r="F79" s="48"/>
      <c r="G79" s="94"/>
      <c r="H79" s="48"/>
      <c r="I79" s="40"/>
      <c r="J79" s="94"/>
      <c r="K79" s="48"/>
      <c r="L79" s="48"/>
      <c r="M79" s="48"/>
      <c r="N79" s="94"/>
      <c r="O79" s="16">
        <v>14</v>
      </c>
      <c r="P79" s="109" t="s">
        <v>246</v>
      </c>
      <c r="Q79" s="99">
        <v>22</v>
      </c>
      <c r="R79" s="93" t="s">
        <v>247</v>
      </c>
      <c r="S79" s="111" t="s">
        <v>185</v>
      </c>
      <c r="T79" s="111" t="s">
        <v>190</v>
      </c>
      <c r="U79" s="99">
        <f t="shared" si="34"/>
        <v>1100</v>
      </c>
      <c r="W79" s="47"/>
      <c r="X79" s="47"/>
    </row>
    <row r="80" spans="1:24" ht="15.6" x14ac:dyDescent="0.3">
      <c r="A80" s="48"/>
      <c r="B80" s="40"/>
      <c r="C80" s="94"/>
      <c r="D80" s="48"/>
      <c r="E80" s="48"/>
      <c r="F80" s="48"/>
      <c r="G80" s="94"/>
      <c r="H80" s="48"/>
      <c r="I80" s="40"/>
      <c r="J80" s="94"/>
      <c r="K80" s="48"/>
      <c r="L80" s="48"/>
      <c r="M80" s="48"/>
      <c r="N80" s="94"/>
      <c r="O80" s="16">
        <v>15</v>
      </c>
      <c r="P80" s="109" t="s">
        <v>248</v>
      </c>
      <c r="Q80" s="99">
        <v>22</v>
      </c>
      <c r="R80" s="93" t="s">
        <v>247</v>
      </c>
      <c r="S80" s="111" t="s">
        <v>185</v>
      </c>
      <c r="T80" s="111" t="s">
        <v>190</v>
      </c>
      <c r="U80" s="99">
        <f t="shared" si="34"/>
        <v>1100</v>
      </c>
      <c r="W80" s="47"/>
      <c r="X80" s="47"/>
    </row>
    <row r="81" spans="1:24" ht="15.6" x14ac:dyDescent="0.3">
      <c r="A81" s="48"/>
      <c r="B81" s="40"/>
      <c r="C81" s="94"/>
      <c r="D81" s="48"/>
      <c r="E81" s="48"/>
      <c r="F81" s="48"/>
      <c r="G81" s="94"/>
      <c r="H81" s="48"/>
      <c r="I81" s="40"/>
      <c r="J81" s="94"/>
      <c r="K81" s="48"/>
      <c r="L81" s="48"/>
      <c r="M81" s="48"/>
      <c r="N81" s="94"/>
      <c r="O81" s="16"/>
      <c r="P81" s="41" t="s">
        <v>43</v>
      </c>
      <c r="Q81" s="60"/>
      <c r="R81" s="93"/>
      <c r="S81" s="111"/>
      <c r="T81" s="111"/>
      <c r="U81" s="99">
        <f>SUM(U58:U80)</f>
        <v>16450</v>
      </c>
      <c r="W81" s="47"/>
      <c r="X81" s="47"/>
    </row>
    <row r="82" spans="1:24" x14ac:dyDescent="0.2">
      <c r="A82" s="48"/>
      <c r="H82" s="48"/>
      <c r="O82" s="48"/>
      <c r="W82" s="47">
        <f>W74*50</f>
        <v>17300</v>
      </c>
      <c r="X82" s="47"/>
    </row>
    <row r="83" spans="1:24" ht="13.2" x14ac:dyDescent="0.25">
      <c r="A83" s="42" t="s">
        <v>42</v>
      </c>
      <c r="B83" s="212" t="s">
        <v>252</v>
      </c>
      <c r="C83" s="212"/>
      <c r="D83" s="212"/>
      <c r="E83" s="212"/>
      <c r="F83" s="212"/>
      <c r="H83" s="42" t="s">
        <v>42</v>
      </c>
      <c r="I83" s="212" t="s">
        <v>253</v>
      </c>
      <c r="J83" s="212"/>
      <c r="K83" s="212"/>
      <c r="L83" s="212"/>
      <c r="M83" s="212"/>
      <c r="O83" s="42" t="s">
        <v>42</v>
      </c>
      <c r="P83" s="212" t="s">
        <v>254</v>
      </c>
      <c r="Q83" s="212"/>
      <c r="R83" s="212"/>
      <c r="S83" s="212"/>
      <c r="T83" s="212"/>
    </row>
    <row r="85" spans="1:24" x14ac:dyDescent="0.2">
      <c r="F85" s="171" t="s">
        <v>41</v>
      </c>
      <c r="M85" s="171" t="s">
        <v>41</v>
      </c>
      <c r="T85" s="171" t="s">
        <v>41</v>
      </c>
    </row>
    <row r="86" spans="1:24" x14ac:dyDescent="0.2">
      <c r="F86" s="172"/>
      <c r="M86" s="172"/>
      <c r="T86" s="172"/>
    </row>
    <row r="87" spans="1:24" ht="13.2" x14ac:dyDescent="0.25">
      <c r="A87" s="26" t="s">
        <v>33</v>
      </c>
      <c r="F87" s="172"/>
      <c r="H87" s="26" t="s">
        <v>33</v>
      </c>
      <c r="M87" s="172"/>
      <c r="O87" s="26" t="s">
        <v>33</v>
      </c>
      <c r="T87" s="172"/>
    </row>
    <row r="88" spans="1:24" ht="13.2" x14ac:dyDescent="0.25">
      <c r="A88" s="46" t="s">
        <v>32</v>
      </c>
      <c r="F88" s="213"/>
      <c r="H88" s="46" t="s">
        <v>32</v>
      </c>
      <c r="M88" s="213"/>
      <c r="O88" s="46" t="s">
        <v>32</v>
      </c>
      <c r="T88" s="213"/>
    </row>
    <row r="89" spans="1:24" x14ac:dyDescent="0.2">
      <c r="E89" t="s">
        <v>40</v>
      </c>
      <c r="F89" s="40"/>
      <c r="L89" t="s">
        <v>40</v>
      </c>
      <c r="M89" s="40"/>
      <c r="S89" t="s">
        <v>40</v>
      </c>
      <c r="T89" s="40"/>
    </row>
    <row r="90" spans="1:24" ht="13.2" x14ac:dyDescent="0.25">
      <c r="A90" s="42" t="s">
        <v>39</v>
      </c>
      <c r="B90" s="42"/>
      <c r="C90" s="42"/>
      <c r="D90" s="42"/>
      <c r="E90" s="42"/>
      <c r="F90" s="42"/>
      <c r="G90" s="42"/>
      <c r="H90" s="42" t="s">
        <v>39</v>
      </c>
      <c r="I90" s="42"/>
      <c r="J90" s="42"/>
      <c r="K90" s="42"/>
      <c r="L90" s="42"/>
      <c r="M90" s="42"/>
      <c r="N90" s="42"/>
      <c r="O90" s="42" t="s">
        <v>39</v>
      </c>
      <c r="P90" s="42"/>
      <c r="Q90" s="42"/>
      <c r="R90" s="42"/>
      <c r="S90" s="42"/>
      <c r="T90" s="42"/>
      <c r="U90" s="42"/>
    </row>
    <row r="91" spans="1:24" ht="13.2" x14ac:dyDescent="0.25">
      <c r="A91" s="42" t="s">
        <v>38</v>
      </c>
      <c r="H91" s="42" t="s">
        <v>38</v>
      </c>
      <c r="O91" s="42" t="s">
        <v>38</v>
      </c>
    </row>
    <row r="92" spans="1:24" ht="13.2" x14ac:dyDescent="0.25">
      <c r="A92" s="42" t="s">
        <v>37</v>
      </c>
      <c r="H92" s="42" t="s">
        <v>37</v>
      </c>
      <c r="O92" s="42" t="s">
        <v>37</v>
      </c>
    </row>
    <row r="93" spans="1:24" ht="13.2" x14ac:dyDescent="0.25">
      <c r="A93" s="42" t="s">
        <v>36</v>
      </c>
      <c r="H93" s="42" t="s">
        <v>36</v>
      </c>
      <c r="O93" s="42" t="s">
        <v>36</v>
      </c>
    </row>
    <row r="94" spans="1:24" ht="13.2" x14ac:dyDescent="0.25">
      <c r="A94" s="42" t="s">
        <v>35</v>
      </c>
      <c r="H94" s="42" t="s">
        <v>35</v>
      </c>
      <c r="O94" s="42" t="s">
        <v>35</v>
      </c>
    </row>
    <row r="95" spans="1:24" ht="13.2" x14ac:dyDescent="0.25">
      <c r="A95" s="42" t="s">
        <v>34</v>
      </c>
      <c r="H95" s="42" t="s">
        <v>34</v>
      </c>
      <c r="O95" s="42" t="s">
        <v>34</v>
      </c>
    </row>
    <row r="97" spans="1:21" ht="13.2" x14ac:dyDescent="0.25">
      <c r="A97" s="26" t="s">
        <v>33</v>
      </c>
      <c r="H97" s="26" t="s">
        <v>33</v>
      </c>
      <c r="O97" s="26" t="s">
        <v>33</v>
      </c>
    </row>
    <row r="98" spans="1:21" ht="13.2" x14ac:dyDescent="0.25">
      <c r="A98" s="46" t="s">
        <v>32</v>
      </c>
      <c r="E98" t="s">
        <v>31</v>
      </c>
      <c r="H98" s="46" t="s">
        <v>32</v>
      </c>
      <c r="L98" t="s">
        <v>31</v>
      </c>
      <c r="O98" s="46" t="s">
        <v>32</v>
      </c>
      <c r="S98" t="s">
        <v>31</v>
      </c>
    </row>
    <row r="100" spans="1:21" ht="13.2" x14ac:dyDescent="0.25">
      <c r="C100" t="s">
        <v>30</v>
      </c>
      <c r="J100" t="s">
        <v>30</v>
      </c>
      <c r="Q100" t="s">
        <v>30</v>
      </c>
    </row>
    <row r="101" spans="1:21" x14ac:dyDescent="0.2">
      <c r="C101" t="s">
        <v>29</v>
      </c>
      <c r="J101" t="s">
        <v>29</v>
      </c>
      <c r="Q101" t="s">
        <v>29</v>
      </c>
    </row>
    <row r="102" spans="1:21" ht="15" x14ac:dyDescent="0.25">
      <c r="A102" s="45"/>
      <c r="H102" s="45"/>
      <c r="O102" s="45"/>
    </row>
    <row r="103" spans="1:21" ht="15" x14ac:dyDescent="0.25">
      <c r="A103" s="44"/>
      <c r="B103" s="2"/>
      <c r="C103" s="2"/>
      <c r="D103" s="2"/>
      <c r="E103" s="2"/>
      <c r="F103" s="2"/>
      <c r="G103" s="2"/>
      <c r="H103" s="44"/>
      <c r="I103" s="2"/>
      <c r="J103" s="2"/>
      <c r="K103" s="2"/>
      <c r="L103" s="2"/>
      <c r="M103" s="2"/>
      <c r="N103" s="2"/>
      <c r="O103" s="44"/>
      <c r="P103" s="2"/>
      <c r="Q103" s="2"/>
      <c r="R103" s="2"/>
      <c r="S103" s="2"/>
      <c r="T103" s="2"/>
      <c r="U103" s="2"/>
    </row>
    <row r="104" spans="1:21" x14ac:dyDescent="0.2">
      <c r="D104" s="43" t="s">
        <v>28</v>
      </c>
      <c r="K104" s="43" t="s">
        <v>28</v>
      </c>
      <c r="R104" s="43" t="s">
        <v>28</v>
      </c>
    </row>
    <row r="105" spans="1:21" ht="13.2" x14ac:dyDescent="0.25">
      <c r="A105" s="42" t="s">
        <v>27</v>
      </c>
      <c r="H105" s="42" t="s">
        <v>27</v>
      </c>
      <c r="O105" s="42" t="s">
        <v>27</v>
      </c>
    </row>
    <row r="106" spans="1:21" ht="13.2" x14ac:dyDescent="0.25">
      <c r="A106" s="42" t="s">
        <v>26</v>
      </c>
      <c r="H106" s="42" t="s">
        <v>26</v>
      </c>
      <c r="O106" s="42" t="s">
        <v>26</v>
      </c>
    </row>
    <row r="107" spans="1:21" ht="13.2" x14ac:dyDescent="0.25">
      <c r="A107" s="42" t="s">
        <v>25</v>
      </c>
      <c r="H107" s="42" t="s">
        <v>25</v>
      </c>
      <c r="O107" s="42" t="s">
        <v>25</v>
      </c>
    </row>
  </sheetData>
  <mergeCells count="285">
    <mergeCell ref="F85:F88"/>
    <mergeCell ref="M85:M88"/>
    <mergeCell ref="T85:T88"/>
    <mergeCell ref="P72:P73"/>
    <mergeCell ref="Q72:Q73"/>
    <mergeCell ref="U72:U73"/>
    <mergeCell ref="D74:F74"/>
    <mergeCell ref="K74:M74"/>
    <mergeCell ref="B83:F83"/>
    <mergeCell ref="I83:M83"/>
    <mergeCell ref="P83:T83"/>
    <mergeCell ref="G72:G73"/>
    <mergeCell ref="H72:H73"/>
    <mergeCell ref="I72:I73"/>
    <mergeCell ref="J72:J73"/>
    <mergeCell ref="N72:N73"/>
    <mergeCell ref="O72:O73"/>
    <mergeCell ref="A72:A73"/>
    <mergeCell ref="B72:B73"/>
    <mergeCell ref="C72:C73"/>
    <mergeCell ref="D72:D73"/>
    <mergeCell ref="E72:E73"/>
    <mergeCell ref="F72:F73"/>
    <mergeCell ref="J70:J71"/>
    <mergeCell ref="N70:N71"/>
    <mergeCell ref="O70:O71"/>
    <mergeCell ref="P70:P71"/>
    <mergeCell ref="Q70:Q71"/>
    <mergeCell ref="U70:U71"/>
    <mergeCell ref="A70:A71"/>
    <mergeCell ref="B70:B71"/>
    <mergeCell ref="C70:C71"/>
    <mergeCell ref="G70:G71"/>
    <mergeCell ref="H70:H71"/>
    <mergeCell ref="I70:I71"/>
    <mergeCell ref="J68:J69"/>
    <mergeCell ref="N68:N69"/>
    <mergeCell ref="O68:O69"/>
    <mergeCell ref="P68:P69"/>
    <mergeCell ref="Q68:Q69"/>
    <mergeCell ref="U68:U69"/>
    <mergeCell ref="A68:A69"/>
    <mergeCell ref="B68:B69"/>
    <mergeCell ref="C68:C69"/>
    <mergeCell ref="G68:G69"/>
    <mergeCell ref="H68:H69"/>
    <mergeCell ref="I68:I69"/>
    <mergeCell ref="J66:J67"/>
    <mergeCell ref="N66:N67"/>
    <mergeCell ref="O66:O67"/>
    <mergeCell ref="P66:P67"/>
    <mergeCell ref="Q66:Q67"/>
    <mergeCell ref="U66:U67"/>
    <mergeCell ref="A66:A67"/>
    <mergeCell ref="B66:B67"/>
    <mergeCell ref="C66:C67"/>
    <mergeCell ref="G66:G67"/>
    <mergeCell ref="H66:H67"/>
    <mergeCell ref="I66:I67"/>
    <mergeCell ref="J64:J65"/>
    <mergeCell ref="N64:N65"/>
    <mergeCell ref="O64:O65"/>
    <mergeCell ref="P64:P65"/>
    <mergeCell ref="Q64:Q65"/>
    <mergeCell ref="U64:U65"/>
    <mergeCell ref="A64:A65"/>
    <mergeCell ref="B64:B65"/>
    <mergeCell ref="C64:C65"/>
    <mergeCell ref="G64:G65"/>
    <mergeCell ref="H64:H65"/>
    <mergeCell ref="I64:I65"/>
    <mergeCell ref="J62:J63"/>
    <mergeCell ref="N62:N63"/>
    <mergeCell ref="O62:O63"/>
    <mergeCell ref="P62:P63"/>
    <mergeCell ref="Q62:Q63"/>
    <mergeCell ref="U62:U63"/>
    <mergeCell ref="A62:A63"/>
    <mergeCell ref="B62:B63"/>
    <mergeCell ref="C62:C63"/>
    <mergeCell ref="G62:G63"/>
    <mergeCell ref="H62:H63"/>
    <mergeCell ref="I62:I63"/>
    <mergeCell ref="J60:J61"/>
    <mergeCell ref="N60:N61"/>
    <mergeCell ref="O60:O61"/>
    <mergeCell ref="P60:P61"/>
    <mergeCell ref="Q60:Q61"/>
    <mergeCell ref="U60:U61"/>
    <mergeCell ref="A60:A61"/>
    <mergeCell ref="B60:B61"/>
    <mergeCell ref="C60:C61"/>
    <mergeCell ref="G60:G61"/>
    <mergeCell ref="H60:H61"/>
    <mergeCell ref="I60:I61"/>
    <mergeCell ref="J58:J59"/>
    <mergeCell ref="N58:N59"/>
    <mergeCell ref="O58:O59"/>
    <mergeCell ref="P58:P59"/>
    <mergeCell ref="Q58:Q59"/>
    <mergeCell ref="U58:U59"/>
    <mergeCell ref="A58:A59"/>
    <mergeCell ref="B58:B59"/>
    <mergeCell ref="C58:C59"/>
    <mergeCell ref="G58:G59"/>
    <mergeCell ref="H58:H59"/>
    <mergeCell ref="I58:I59"/>
    <mergeCell ref="A53:G53"/>
    <mergeCell ref="H53:N53"/>
    <mergeCell ref="O53:U53"/>
    <mergeCell ref="D55:F55"/>
    <mergeCell ref="K55:M55"/>
    <mergeCell ref="R55:T55"/>
    <mergeCell ref="B24:F24"/>
    <mergeCell ref="I24:M24"/>
    <mergeCell ref="P24:T24"/>
    <mergeCell ref="W24:AA24"/>
    <mergeCell ref="F26:F29"/>
    <mergeCell ref="M26:M29"/>
    <mergeCell ref="T26:T29"/>
    <mergeCell ref="AA26:AA29"/>
    <mergeCell ref="Y20:Y21"/>
    <mergeCell ref="Z20:Z21"/>
    <mergeCell ref="AA20:AA21"/>
    <mergeCell ref="AB20:AB21"/>
    <mergeCell ref="D22:F22"/>
    <mergeCell ref="K22:M22"/>
    <mergeCell ref="R22:T22"/>
    <mergeCell ref="Y22:AA22"/>
    <mergeCell ref="S20:S21"/>
    <mergeCell ref="T20:T21"/>
    <mergeCell ref="U20:U21"/>
    <mergeCell ref="V20:V21"/>
    <mergeCell ref="W20:W21"/>
    <mergeCell ref="X20:X21"/>
    <mergeCell ref="J20:J21"/>
    <mergeCell ref="N20:N21"/>
    <mergeCell ref="O20:O21"/>
    <mergeCell ref="P20:P21"/>
    <mergeCell ref="Q20:Q21"/>
    <mergeCell ref="R20:R21"/>
    <mergeCell ref="AB18:AB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V18:V19"/>
    <mergeCell ref="W18:W19"/>
    <mergeCell ref="X18:X19"/>
    <mergeCell ref="Y18:Y19"/>
    <mergeCell ref="Z18:Z19"/>
    <mergeCell ref="AA18:AA19"/>
    <mergeCell ref="J18:J19"/>
    <mergeCell ref="N18:N19"/>
    <mergeCell ref="O18:O19"/>
    <mergeCell ref="P18:P19"/>
    <mergeCell ref="Q18:Q19"/>
    <mergeCell ref="U18:U19"/>
    <mergeCell ref="AA16:AA17"/>
    <mergeCell ref="AB16:AB17"/>
    <mergeCell ref="A18:A19"/>
    <mergeCell ref="B18:B19"/>
    <mergeCell ref="C18:C19"/>
    <mergeCell ref="G18:G19"/>
    <mergeCell ref="H18:H19"/>
    <mergeCell ref="I18:I19"/>
    <mergeCell ref="P16:P17"/>
    <mergeCell ref="Q16:Q17"/>
    <mergeCell ref="U16:U17"/>
    <mergeCell ref="V16:V17"/>
    <mergeCell ref="W16:W17"/>
    <mergeCell ref="X16:X17"/>
    <mergeCell ref="AB14:AB15"/>
    <mergeCell ref="A16:A17"/>
    <mergeCell ref="B16:B17"/>
    <mergeCell ref="C16:C17"/>
    <mergeCell ref="G16:G17"/>
    <mergeCell ref="H16:H17"/>
    <mergeCell ref="I16:I17"/>
    <mergeCell ref="J16:J17"/>
    <mergeCell ref="N16:N17"/>
    <mergeCell ref="O16:O17"/>
    <mergeCell ref="V14:V15"/>
    <mergeCell ref="W14:W15"/>
    <mergeCell ref="X14:X15"/>
    <mergeCell ref="Y14:Y15"/>
    <mergeCell ref="Z14:Z15"/>
    <mergeCell ref="AA14:AA15"/>
    <mergeCell ref="J14:J15"/>
    <mergeCell ref="N14:N15"/>
    <mergeCell ref="O14:O15"/>
    <mergeCell ref="P14:P15"/>
    <mergeCell ref="Q14:Q15"/>
    <mergeCell ref="U14:U15"/>
    <mergeCell ref="Y16:Y17"/>
    <mergeCell ref="Z16:Z17"/>
    <mergeCell ref="A14:A15"/>
    <mergeCell ref="B14:B15"/>
    <mergeCell ref="C14:C15"/>
    <mergeCell ref="G14:G15"/>
    <mergeCell ref="H14:H15"/>
    <mergeCell ref="I14:I15"/>
    <mergeCell ref="J12:J13"/>
    <mergeCell ref="N12:N13"/>
    <mergeCell ref="O12:O13"/>
    <mergeCell ref="AA10:AA11"/>
    <mergeCell ref="AB10:AB11"/>
    <mergeCell ref="A12:A13"/>
    <mergeCell ref="B12:B13"/>
    <mergeCell ref="C12:C13"/>
    <mergeCell ref="G12:G13"/>
    <mergeCell ref="H12:H13"/>
    <mergeCell ref="I12:I13"/>
    <mergeCell ref="P10:P11"/>
    <mergeCell ref="Q10:Q11"/>
    <mergeCell ref="U10:U11"/>
    <mergeCell ref="V10:V11"/>
    <mergeCell ref="W10:W11"/>
    <mergeCell ref="X10:X11"/>
    <mergeCell ref="V12:V13"/>
    <mergeCell ref="W12:W13"/>
    <mergeCell ref="X12:X13"/>
    <mergeCell ref="AB12:AB13"/>
    <mergeCell ref="P12:P13"/>
    <mergeCell ref="Q12:Q13"/>
    <mergeCell ref="U12:U13"/>
    <mergeCell ref="AB8:AB9"/>
    <mergeCell ref="A10:A11"/>
    <mergeCell ref="B10:B11"/>
    <mergeCell ref="C10:C11"/>
    <mergeCell ref="G10:G11"/>
    <mergeCell ref="H10:H11"/>
    <mergeCell ref="I10:I11"/>
    <mergeCell ref="J10:J11"/>
    <mergeCell ref="N10:N11"/>
    <mergeCell ref="O10:O11"/>
    <mergeCell ref="V8:V9"/>
    <mergeCell ref="W8:W9"/>
    <mergeCell ref="X8:X9"/>
    <mergeCell ref="Y8:Y9"/>
    <mergeCell ref="Z8:Z9"/>
    <mergeCell ref="AA8:AA9"/>
    <mergeCell ref="J8:J9"/>
    <mergeCell ref="N8:N9"/>
    <mergeCell ref="O8:O9"/>
    <mergeCell ref="P8:P9"/>
    <mergeCell ref="Q8:Q9"/>
    <mergeCell ref="U8:U9"/>
    <mergeCell ref="Y10:Y11"/>
    <mergeCell ref="Z10:Z11"/>
    <mergeCell ref="A8:A9"/>
    <mergeCell ref="B8:B9"/>
    <mergeCell ref="C8:C9"/>
    <mergeCell ref="G8:G9"/>
    <mergeCell ref="H8:H9"/>
    <mergeCell ref="I8:I9"/>
    <mergeCell ref="J6:J7"/>
    <mergeCell ref="N6:N7"/>
    <mergeCell ref="O6:O7"/>
    <mergeCell ref="A6:A7"/>
    <mergeCell ref="B6:B7"/>
    <mergeCell ref="C6:C7"/>
    <mergeCell ref="G6:G7"/>
    <mergeCell ref="H6:H7"/>
    <mergeCell ref="I6:I7"/>
    <mergeCell ref="A1:G1"/>
    <mergeCell ref="H1:N1"/>
    <mergeCell ref="O1:U1"/>
    <mergeCell ref="V1:AB1"/>
    <mergeCell ref="D3:F3"/>
    <mergeCell ref="K3:N3"/>
    <mergeCell ref="R3:T3"/>
    <mergeCell ref="Y3:AA3"/>
    <mergeCell ref="V6:V7"/>
    <mergeCell ref="W6:W7"/>
    <mergeCell ref="X6:X7"/>
    <mergeCell ref="AB6:AB7"/>
    <mergeCell ref="P6:P7"/>
    <mergeCell ref="Q6:Q7"/>
    <mergeCell ref="U6:U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94"/>
  <sheetViews>
    <sheetView zoomScale="96" zoomScaleNormal="130" workbookViewId="0">
      <selection activeCell="D3" sqref="D3:F3"/>
    </sheetView>
  </sheetViews>
  <sheetFormatPr defaultColWidth="9.33203125" defaultRowHeight="10.199999999999999" x14ac:dyDescent="0.2"/>
  <cols>
    <col min="1" max="1" width="7" customWidth="1"/>
    <col min="2" max="2" width="17.6640625" customWidth="1"/>
    <col min="3" max="3" width="10.5" customWidth="1"/>
    <col min="4" max="4" width="22.6640625" customWidth="1"/>
    <col min="5" max="5" width="9.6640625" customWidth="1"/>
    <col min="6" max="6" width="18.5" customWidth="1"/>
    <col min="7" max="7" width="17.33203125" customWidth="1"/>
    <col min="8" max="8" width="8.83203125" customWidth="1"/>
    <col min="9" max="9" width="20.6640625" customWidth="1"/>
    <col min="10" max="10" width="16.5" customWidth="1"/>
    <col min="11" max="11" width="34" customWidth="1"/>
    <col min="12" max="12" width="13.83203125" customWidth="1"/>
    <col min="13" max="13" width="10.33203125" customWidth="1"/>
    <col min="14" max="14" width="20.5" customWidth="1"/>
    <col min="15" max="15" width="8.6640625" customWidth="1"/>
    <col min="16" max="16" width="20.6640625" customWidth="1"/>
    <col min="17" max="17" width="12.33203125" customWidth="1"/>
    <col min="18" max="18" width="29" customWidth="1"/>
    <col min="19" max="19" width="13.83203125" customWidth="1"/>
    <col min="20" max="20" width="10.33203125" customWidth="1"/>
    <col min="21" max="21" width="14.83203125" customWidth="1"/>
    <col min="22" max="22" width="15.1640625" customWidth="1"/>
    <col min="23" max="23" width="17.5" customWidth="1"/>
    <col min="24" max="24" width="14.5" customWidth="1"/>
    <col min="25" max="25" width="23.5" customWidth="1"/>
    <col min="26" max="26" width="13.33203125" customWidth="1"/>
    <col min="28" max="28" width="16.83203125" customWidth="1"/>
  </cols>
  <sheetData>
    <row r="1" spans="1:32" ht="24.75" customHeight="1" x14ac:dyDescent="0.3">
      <c r="A1" s="198" t="s">
        <v>52</v>
      </c>
      <c r="B1" s="198"/>
      <c r="C1" s="198"/>
      <c r="D1" s="198"/>
      <c r="E1" s="198"/>
      <c r="F1" s="198"/>
      <c r="G1" s="198"/>
      <c r="H1" s="198" t="s">
        <v>52</v>
      </c>
      <c r="I1" s="198"/>
      <c r="J1" s="198"/>
      <c r="K1" s="198"/>
      <c r="L1" s="198"/>
      <c r="M1" s="198"/>
      <c r="N1" s="198"/>
      <c r="O1" s="198" t="s">
        <v>52</v>
      </c>
      <c r="P1" s="198"/>
      <c r="Q1" s="198"/>
      <c r="R1" s="198"/>
      <c r="S1" s="198"/>
      <c r="T1" s="198"/>
      <c r="U1" s="198"/>
      <c r="V1" s="198" t="s">
        <v>52</v>
      </c>
      <c r="W1" s="198"/>
      <c r="X1" s="198"/>
      <c r="Y1" s="198"/>
      <c r="Z1" s="198"/>
      <c r="AA1" s="198"/>
      <c r="AB1" s="198"/>
    </row>
    <row r="2" spans="1:32" ht="21" customHeight="1" x14ac:dyDescent="0.25">
      <c r="A2" s="45" t="s">
        <v>302</v>
      </c>
      <c r="H2" s="45" t="s">
        <v>302</v>
      </c>
      <c r="O2" s="45" t="s">
        <v>302</v>
      </c>
      <c r="V2" s="45" t="s">
        <v>302</v>
      </c>
    </row>
    <row r="3" spans="1:32" ht="21" customHeight="1" x14ac:dyDescent="0.3">
      <c r="A3" s="45" t="s">
        <v>332</v>
      </c>
      <c r="D3" s="199" t="s">
        <v>396</v>
      </c>
      <c r="E3" s="199"/>
      <c r="F3" s="199"/>
      <c r="H3" s="45" t="s">
        <v>332</v>
      </c>
      <c r="K3" s="199" t="s">
        <v>303</v>
      </c>
      <c r="L3" s="199"/>
      <c r="M3" s="199"/>
      <c r="O3" s="45" t="s">
        <v>332</v>
      </c>
      <c r="R3" s="199" t="s">
        <v>294</v>
      </c>
      <c r="S3" s="199"/>
      <c r="T3" s="199"/>
      <c r="V3" s="45" t="s">
        <v>332</v>
      </c>
      <c r="Y3" s="199" t="s">
        <v>333</v>
      </c>
      <c r="Z3" s="199"/>
      <c r="AA3" s="199"/>
      <c r="AB3" s="199"/>
    </row>
    <row r="4" spans="1:32" ht="4.5" customHeight="1" x14ac:dyDescent="0.25">
      <c r="A4" s="45"/>
      <c r="H4" s="45"/>
      <c r="O4" s="45"/>
      <c r="V4" s="45"/>
    </row>
    <row r="5" spans="1:32" ht="42" customHeight="1" x14ac:dyDescent="0.25">
      <c r="A5" s="27" t="s">
        <v>50</v>
      </c>
      <c r="B5" s="14" t="s">
        <v>49</v>
      </c>
      <c r="C5" s="14" t="s">
        <v>48</v>
      </c>
      <c r="D5" s="49" t="s">
        <v>47</v>
      </c>
      <c r="E5" s="49" t="s">
        <v>46</v>
      </c>
      <c r="F5" s="49" t="s">
        <v>45</v>
      </c>
      <c r="G5" s="52" t="s">
        <v>44</v>
      </c>
      <c r="H5" s="27" t="s">
        <v>50</v>
      </c>
      <c r="I5" s="14" t="s">
        <v>49</v>
      </c>
      <c r="J5" s="14" t="s">
        <v>48</v>
      </c>
      <c r="K5" s="49" t="s">
        <v>47</v>
      </c>
      <c r="L5" s="49" t="s">
        <v>46</v>
      </c>
      <c r="M5" s="49" t="s">
        <v>45</v>
      </c>
      <c r="N5" s="52" t="s">
        <v>44</v>
      </c>
      <c r="O5" s="27" t="s">
        <v>50</v>
      </c>
      <c r="P5" s="14" t="s">
        <v>49</v>
      </c>
      <c r="Q5" s="14" t="s">
        <v>48</v>
      </c>
      <c r="R5" s="49" t="s">
        <v>47</v>
      </c>
      <c r="S5" s="49" t="s">
        <v>46</v>
      </c>
      <c r="T5" s="49" t="s">
        <v>45</v>
      </c>
      <c r="U5" s="27" t="s">
        <v>44</v>
      </c>
      <c r="V5" s="27" t="s">
        <v>50</v>
      </c>
      <c r="W5" s="14" t="s">
        <v>49</v>
      </c>
      <c r="X5" s="14" t="s">
        <v>48</v>
      </c>
      <c r="Y5" s="49" t="s">
        <v>47</v>
      </c>
      <c r="Z5" s="49" t="s">
        <v>46</v>
      </c>
      <c r="AA5" s="49" t="s">
        <v>45</v>
      </c>
      <c r="AB5" s="27" t="s">
        <v>44</v>
      </c>
      <c r="AC5" s="50"/>
      <c r="AD5" s="51"/>
      <c r="AE5" s="51"/>
      <c r="AF5" s="51"/>
    </row>
    <row r="6" spans="1:32" ht="17.25" customHeight="1" x14ac:dyDescent="0.3">
      <c r="A6" s="200">
        <v>1</v>
      </c>
      <c r="B6" s="221" t="s">
        <v>387</v>
      </c>
      <c r="C6" s="227">
        <v>35</v>
      </c>
      <c r="D6" s="231" t="s">
        <v>388</v>
      </c>
      <c r="E6" s="230">
        <v>1</v>
      </c>
      <c r="F6" s="230">
        <v>42</v>
      </c>
      <c r="G6" s="221">
        <f>C6*50</f>
        <v>1750</v>
      </c>
      <c r="H6" s="224">
        <v>1</v>
      </c>
      <c r="I6" s="227" t="s">
        <v>288</v>
      </c>
      <c r="J6" s="221">
        <f>('SIGNAL Refresh'!Y34+'SIGNAL Refresh'!Y76)</f>
        <v>31</v>
      </c>
      <c r="K6" s="147" t="s">
        <v>297</v>
      </c>
      <c r="L6" s="145">
        <v>3</v>
      </c>
      <c r="M6" s="145">
        <v>45</v>
      </c>
      <c r="N6" s="218">
        <f>J6*50</f>
        <v>1550</v>
      </c>
      <c r="O6" s="224">
        <v>1</v>
      </c>
      <c r="P6" s="221" t="s">
        <v>319</v>
      </c>
      <c r="Q6" s="218">
        <f>('SIGNAL Refresh'!AW34+'SIGNAL Refresh'!AW76)</f>
        <v>28</v>
      </c>
      <c r="R6" s="152" t="s">
        <v>305</v>
      </c>
      <c r="S6" s="148">
        <v>1</v>
      </c>
      <c r="T6" s="148">
        <v>38</v>
      </c>
      <c r="U6" s="221">
        <f>Q6*50</f>
        <v>1400</v>
      </c>
      <c r="V6" s="200">
        <v>1</v>
      </c>
      <c r="W6" s="201" t="s">
        <v>327</v>
      </c>
      <c r="X6" s="203">
        <f>('SIGNAL Refresh'!BU34+'SIGNAL Refresh'!BU76)</f>
        <v>30</v>
      </c>
      <c r="Y6" s="60" t="s">
        <v>316</v>
      </c>
      <c r="Z6" s="60">
        <v>1</v>
      </c>
      <c r="AA6" s="60">
        <v>42</v>
      </c>
      <c r="AB6" s="203">
        <f>X6*50</f>
        <v>1500</v>
      </c>
      <c r="AC6" s="229"/>
      <c r="AD6" s="229"/>
      <c r="AE6" s="229"/>
      <c r="AF6" s="229"/>
    </row>
    <row r="7" spans="1:32" ht="17.25" customHeight="1" x14ac:dyDescent="0.3">
      <c r="A7" s="200"/>
      <c r="B7" s="222"/>
      <c r="C7" s="228"/>
      <c r="D7" s="231" t="s">
        <v>389</v>
      </c>
      <c r="E7" s="230">
        <v>1</v>
      </c>
      <c r="F7" s="230">
        <v>8</v>
      </c>
      <c r="G7" s="222"/>
      <c r="H7" s="225"/>
      <c r="I7" s="228"/>
      <c r="J7" s="222"/>
      <c r="K7" s="147" t="s">
        <v>304</v>
      </c>
      <c r="L7" s="145">
        <v>1</v>
      </c>
      <c r="M7" s="145">
        <v>5</v>
      </c>
      <c r="N7" s="218"/>
      <c r="O7" s="225"/>
      <c r="P7" s="222"/>
      <c r="Q7" s="218"/>
      <c r="R7" s="152" t="s">
        <v>300</v>
      </c>
      <c r="S7" s="148">
        <v>1</v>
      </c>
      <c r="T7" s="148">
        <v>12</v>
      </c>
      <c r="U7" s="222"/>
      <c r="V7" s="200"/>
      <c r="W7" s="202"/>
      <c r="X7" s="203"/>
      <c r="Y7" s="60" t="s">
        <v>301</v>
      </c>
      <c r="Z7" s="60">
        <v>1</v>
      </c>
      <c r="AA7" s="60">
        <v>8</v>
      </c>
      <c r="AB7" s="203"/>
      <c r="AC7" s="229"/>
      <c r="AD7" s="229"/>
      <c r="AE7" s="229"/>
      <c r="AF7" s="229"/>
    </row>
    <row r="8" spans="1:32" ht="16.8" customHeight="1" x14ac:dyDescent="0.3">
      <c r="A8" s="200">
        <v>2</v>
      </c>
      <c r="B8" s="221" t="s">
        <v>390</v>
      </c>
      <c r="C8" s="227">
        <v>31</v>
      </c>
      <c r="D8" s="231" t="s">
        <v>286</v>
      </c>
      <c r="E8" s="230">
        <v>6</v>
      </c>
      <c r="F8" s="230">
        <v>7</v>
      </c>
      <c r="G8" s="221">
        <f t="shared" ref="G8" si="0">C8*50</f>
        <v>1550</v>
      </c>
      <c r="H8" s="224">
        <v>2</v>
      </c>
      <c r="I8" s="227" t="s">
        <v>289</v>
      </c>
      <c r="J8" s="221">
        <f>('SIGNAL Refresh'!Z34+'SIGNAL Refresh'!Z76)</f>
        <v>32</v>
      </c>
      <c r="K8" s="147" t="s">
        <v>298</v>
      </c>
      <c r="L8" s="145">
        <v>3</v>
      </c>
      <c r="M8" s="145">
        <v>15</v>
      </c>
      <c r="N8" s="218">
        <f t="shared" ref="N8" si="1">J8*50</f>
        <v>1600</v>
      </c>
      <c r="O8" s="224">
        <v>2</v>
      </c>
      <c r="P8" s="221" t="s">
        <v>320</v>
      </c>
      <c r="Q8" s="218">
        <f>('SIGNAL Refresh'!AX34+'SIGNAL Refresh'!AX76)</f>
        <v>29</v>
      </c>
      <c r="R8" s="152" t="s">
        <v>297</v>
      </c>
      <c r="S8" s="148">
        <v>3</v>
      </c>
      <c r="T8" s="148">
        <v>15</v>
      </c>
      <c r="U8" s="221">
        <f t="shared" ref="U8" si="2">Q8*50</f>
        <v>1450</v>
      </c>
      <c r="V8" s="200">
        <v>2</v>
      </c>
      <c r="W8" s="201" t="s">
        <v>328</v>
      </c>
      <c r="X8" s="203">
        <f>('SIGNAL Refresh'!BV34+'SIGNAL Refresh'!BV76)</f>
        <v>31</v>
      </c>
      <c r="Y8" s="60" t="s">
        <v>286</v>
      </c>
      <c r="Z8" s="81">
        <v>6</v>
      </c>
      <c r="AA8" s="81">
        <v>7</v>
      </c>
      <c r="AB8" s="203">
        <f>X8*50</f>
        <v>1550</v>
      </c>
      <c r="AC8" s="229"/>
      <c r="AD8" s="229"/>
      <c r="AE8" s="229"/>
      <c r="AF8" s="229"/>
    </row>
    <row r="9" spans="1:32" ht="17.25" customHeight="1" x14ac:dyDescent="0.3">
      <c r="A9" s="200"/>
      <c r="B9" s="222"/>
      <c r="C9" s="228"/>
      <c r="D9" s="231" t="s">
        <v>296</v>
      </c>
      <c r="E9" s="230">
        <v>1</v>
      </c>
      <c r="F9" s="230">
        <v>8</v>
      </c>
      <c r="G9" s="222"/>
      <c r="H9" s="225"/>
      <c r="I9" s="228"/>
      <c r="J9" s="222"/>
      <c r="K9" s="147" t="s">
        <v>304</v>
      </c>
      <c r="L9" s="145">
        <v>1</v>
      </c>
      <c r="M9" s="145">
        <v>5</v>
      </c>
      <c r="N9" s="218"/>
      <c r="O9" s="225"/>
      <c r="P9" s="222"/>
      <c r="Q9" s="218"/>
      <c r="R9" s="151" t="s">
        <v>304</v>
      </c>
      <c r="S9" s="149">
        <v>1</v>
      </c>
      <c r="T9" s="149">
        <v>5</v>
      </c>
      <c r="U9" s="222"/>
      <c r="V9" s="200"/>
      <c r="W9" s="202"/>
      <c r="X9" s="203"/>
      <c r="Y9" s="82" t="s">
        <v>296</v>
      </c>
      <c r="Z9" s="60">
        <v>1</v>
      </c>
      <c r="AA9" s="60">
        <v>8</v>
      </c>
      <c r="AB9" s="203"/>
      <c r="AC9" s="229"/>
      <c r="AD9" s="229"/>
      <c r="AE9" s="229"/>
      <c r="AF9" s="229"/>
    </row>
    <row r="10" spans="1:32" ht="17.25" customHeight="1" x14ac:dyDescent="0.3">
      <c r="A10" s="200">
        <v>3</v>
      </c>
      <c r="B10" s="221" t="s">
        <v>391</v>
      </c>
      <c r="C10" s="227">
        <v>33</v>
      </c>
      <c r="D10" s="231" t="s">
        <v>392</v>
      </c>
      <c r="E10" s="230">
        <v>1</v>
      </c>
      <c r="F10" s="230">
        <v>42</v>
      </c>
      <c r="G10" s="221">
        <f t="shared" ref="G10" si="3">C10*50</f>
        <v>1650</v>
      </c>
      <c r="H10" s="224">
        <v>3</v>
      </c>
      <c r="I10" s="227" t="s">
        <v>290</v>
      </c>
      <c r="J10" s="221">
        <f>('SIGNAL Refresh'!AA34+'SIGNAL Refresh'!AA76)</f>
        <v>30</v>
      </c>
      <c r="K10" s="147" t="s">
        <v>318</v>
      </c>
      <c r="L10" s="145">
        <v>1</v>
      </c>
      <c r="M10" s="145">
        <v>42</v>
      </c>
      <c r="N10" s="218">
        <f t="shared" ref="N10" si="4">J10*50</f>
        <v>1500</v>
      </c>
      <c r="O10" s="224">
        <v>3</v>
      </c>
      <c r="P10" s="221" t="s">
        <v>321</v>
      </c>
      <c r="Q10" s="218">
        <f>('SIGNAL Refresh'!AY34+'SIGNAL Refresh'!AY76)</f>
        <v>28</v>
      </c>
      <c r="R10" s="152" t="s">
        <v>298</v>
      </c>
      <c r="S10" s="148">
        <v>3</v>
      </c>
      <c r="T10" s="150">
        <v>15</v>
      </c>
      <c r="U10" s="221">
        <f t="shared" ref="U10" si="5">Q10*50</f>
        <v>1400</v>
      </c>
      <c r="V10" s="200">
        <v>3</v>
      </c>
      <c r="W10" s="201" t="s">
        <v>329</v>
      </c>
      <c r="X10" s="203">
        <f>('SIGNAL Refresh'!BW34+'SIGNAL Refresh'!BW76)</f>
        <v>31</v>
      </c>
      <c r="Y10" s="60" t="s">
        <v>317</v>
      </c>
      <c r="Z10" s="81">
        <v>1</v>
      </c>
      <c r="AA10" s="81">
        <v>42</v>
      </c>
      <c r="AB10" s="203">
        <f>X10*50</f>
        <v>1550</v>
      </c>
      <c r="AC10" s="229"/>
      <c r="AD10" s="229"/>
      <c r="AE10" s="229"/>
      <c r="AF10" s="229"/>
    </row>
    <row r="11" spans="1:32" ht="17.25" customHeight="1" x14ac:dyDescent="0.3">
      <c r="A11" s="200"/>
      <c r="B11" s="222"/>
      <c r="C11" s="228"/>
      <c r="D11" s="231" t="s">
        <v>393</v>
      </c>
      <c r="E11" s="230">
        <v>1</v>
      </c>
      <c r="F11" s="230">
        <v>8</v>
      </c>
      <c r="G11" s="222"/>
      <c r="H11" s="225"/>
      <c r="I11" s="228"/>
      <c r="J11" s="222"/>
      <c r="K11" s="147" t="s">
        <v>296</v>
      </c>
      <c r="L11" s="145">
        <v>1</v>
      </c>
      <c r="M11" s="145">
        <v>8</v>
      </c>
      <c r="N11" s="218"/>
      <c r="O11" s="225"/>
      <c r="P11" s="222"/>
      <c r="Q11" s="218"/>
      <c r="R11" s="151" t="s">
        <v>304</v>
      </c>
      <c r="S11" s="149">
        <v>1</v>
      </c>
      <c r="T11" s="148">
        <v>5</v>
      </c>
      <c r="U11" s="222"/>
      <c r="V11" s="200"/>
      <c r="W11" s="202"/>
      <c r="X11" s="203"/>
      <c r="Y11" s="82" t="s">
        <v>296</v>
      </c>
      <c r="Z11" s="60">
        <v>1</v>
      </c>
      <c r="AA11" s="60">
        <v>8</v>
      </c>
      <c r="AB11" s="203"/>
      <c r="AC11" s="229"/>
      <c r="AD11" s="229"/>
      <c r="AE11" s="229"/>
      <c r="AF11" s="229"/>
    </row>
    <row r="12" spans="1:32" ht="17.25" customHeight="1" x14ac:dyDescent="0.3">
      <c r="A12" s="200">
        <v>4</v>
      </c>
      <c r="B12" s="221" t="s">
        <v>394</v>
      </c>
      <c r="C12" s="227">
        <v>30</v>
      </c>
      <c r="D12" s="231" t="s">
        <v>395</v>
      </c>
      <c r="E12" s="230">
        <v>3</v>
      </c>
      <c r="F12" s="230">
        <v>15</v>
      </c>
      <c r="G12" s="221">
        <f t="shared" ref="G12" si="6">C12*50</f>
        <v>1500</v>
      </c>
      <c r="H12" s="224">
        <v>4</v>
      </c>
      <c r="I12" s="227" t="s">
        <v>291</v>
      </c>
      <c r="J12" s="221">
        <f>('SIGNAL Refresh'!AB34+'SIGNAL Refresh'!AB76)</f>
        <v>30</v>
      </c>
      <c r="K12" s="147" t="s">
        <v>297</v>
      </c>
      <c r="L12" s="145">
        <v>3</v>
      </c>
      <c r="M12" s="145">
        <v>15</v>
      </c>
      <c r="N12" s="218">
        <f t="shared" ref="N12" si="7">J12*50</f>
        <v>1500</v>
      </c>
      <c r="O12" s="224">
        <v>4</v>
      </c>
      <c r="P12" s="221" t="s">
        <v>322</v>
      </c>
      <c r="Q12" s="218">
        <f>('SIGNAL Refresh'!AZ34+'SIGNAL Refresh'!AZ76)</f>
        <v>30</v>
      </c>
      <c r="R12" s="152" t="s">
        <v>315</v>
      </c>
      <c r="S12" s="148">
        <v>1</v>
      </c>
      <c r="T12" s="148">
        <v>42</v>
      </c>
      <c r="U12" s="221">
        <f t="shared" ref="U12:U20" si="8">Q12*50</f>
        <v>1500</v>
      </c>
      <c r="V12" s="200">
        <v>4</v>
      </c>
      <c r="W12" s="201" t="s">
        <v>330</v>
      </c>
      <c r="X12" s="203">
        <f>('SIGNAL Refresh'!BX34+'SIGNAL Refresh'!BX76)</f>
        <v>28</v>
      </c>
      <c r="Y12" s="60" t="s">
        <v>298</v>
      </c>
      <c r="Z12" s="60">
        <v>3</v>
      </c>
      <c r="AA12" s="60">
        <v>15</v>
      </c>
      <c r="AB12" s="203">
        <f>X12*50</f>
        <v>1400</v>
      </c>
      <c r="AC12" s="229"/>
      <c r="AD12" s="229"/>
      <c r="AE12" s="229"/>
      <c r="AF12" s="229"/>
    </row>
    <row r="13" spans="1:32" ht="17.25" customHeight="1" x14ac:dyDescent="0.3">
      <c r="A13" s="200"/>
      <c r="B13" s="222"/>
      <c r="C13" s="228"/>
      <c r="D13" s="231" t="s">
        <v>304</v>
      </c>
      <c r="E13" s="230">
        <v>1</v>
      </c>
      <c r="F13" s="230">
        <v>5</v>
      </c>
      <c r="G13" s="222"/>
      <c r="H13" s="225"/>
      <c r="I13" s="228"/>
      <c r="J13" s="222"/>
      <c r="K13" s="147" t="s">
        <v>304</v>
      </c>
      <c r="L13" s="145">
        <v>1</v>
      </c>
      <c r="M13" s="145">
        <v>5</v>
      </c>
      <c r="N13" s="218"/>
      <c r="O13" s="225"/>
      <c r="P13" s="222"/>
      <c r="Q13" s="218"/>
      <c r="R13" s="152" t="s">
        <v>296</v>
      </c>
      <c r="S13" s="148">
        <v>1</v>
      </c>
      <c r="T13" s="148">
        <v>8</v>
      </c>
      <c r="U13" s="222"/>
      <c r="V13" s="200"/>
      <c r="W13" s="202"/>
      <c r="X13" s="203"/>
      <c r="Y13" s="60" t="s">
        <v>304</v>
      </c>
      <c r="Z13" s="60">
        <v>1</v>
      </c>
      <c r="AA13" s="60">
        <v>5</v>
      </c>
      <c r="AB13" s="203"/>
      <c r="AC13" s="229"/>
      <c r="AD13" s="229"/>
      <c r="AE13" s="229"/>
      <c r="AF13" s="229"/>
    </row>
    <row r="14" spans="1:32" ht="17.25" customHeight="1" x14ac:dyDescent="0.2">
      <c r="A14" s="200"/>
      <c r="B14" s="221"/>
      <c r="C14" s="221"/>
      <c r="D14" s="206"/>
      <c r="E14" s="221"/>
      <c r="F14" s="221"/>
      <c r="G14" s="221"/>
      <c r="H14" s="224">
        <v>5</v>
      </c>
      <c r="I14" s="227" t="s">
        <v>292</v>
      </c>
      <c r="J14" s="221">
        <f>('SIGNAL Refresh'!AC34+'SIGNAL Refresh'!AC76)</f>
        <v>30</v>
      </c>
      <c r="K14" s="147" t="s">
        <v>299</v>
      </c>
      <c r="L14" s="145">
        <v>3</v>
      </c>
      <c r="M14" s="145">
        <v>15</v>
      </c>
      <c r="N14" s="218">
        <f t="shared" ref="N14" si="9">J14*50</f>
        <v>1500</v>
      </c>
      <c r="O14" s="224">
        <v>5</v>
      </c>
      <c r="P14" s="221" t="s">
        <v>323</v>
      </c>
      <c r="Q14" s="218">
        <f>('SIGNAL Refresh'!BA34+'SIGNAL Refresh'!BA76)</f>
        <v>28</v>
      </c>
      <c r="R14" s="152" t="s">
        <v>298</v>
      </c>
      <c r="S14" s="150">
        <v>3</v>
      </c>
      <c r="T14" s="150">
        <v>15</v>
      </c>
      <c r="U14" s="221">
        <f t="shared" ref="U14" si="10">Q14*50</f>
        <v>1400</v>
      </c>
      <c r="V14" s="200"/>
      <c r="W14" s="201"/>
      <c r="X14" s="203"/>
      <c r="Y14" s="208"/>
      <c r="Z14" s="206"/>
      <c r="AA14" s="206"/>
      <c r="AB14" s="203"/>
      <c r="AC14" s="50"/>
      <c r="AD14" s="50"/>
      <c r="AE14" s="50"/>
      <c r="AF14" s="50"/>
    </row>
    <row r="15" spans="1:32" ht="17.25" customHeight="1" x14ac:dyDescent="0.3">
      <c r="A15" s="200"/>
      <c r="B15" s="222"/>
      <c r="C15" s="222"/>
      <c r="D15" s="207"/>
      <c r="E15" s="222"/>
      <c r="F15" s="222"/>
      <c r="G15" s="222"/>
      <c r="H15" s="225"/>
      <c r="I15" s="228"/>
      <c r="J15" s="222"/>
      <c r="K15" s="147" t="s">
        <v>304</v>
      </c>
      <c r="L15" s="145">
        <v>1</v>
      </c>
      <c r="M15" s="146">
        <v>5</v>
      </c>
      <c r="N15" s="218"/>
      <c r="O15" s="225"/>
      <c r="P15" s="222"/>
      <c r="Q15" s="218"/>
      <c r="R15" s="154" t="s">
        <v>304</v>
      </c>
      <c r="S15" s="148">
        <v>1</v>
      </c>
      <c r="T15" s="148">
        <v>5</v>
      </c>
      <c r="U15" s="222"/>
      <c r="V15" s="200"/>
      <c r="W15" s="202"/>
      <c r="X15" s="203"/>
      <c r="Y15" s="209"/>
      <c r="Z15" s="207"/>
      <c r="AA15" s="207"/>
      <c r="AB15" s="203"/>
      <c r="AC15" s="229"/>
      <c r="AD15" s="229"/>
      <c r="AE15" s="229"/>
      <c r="AF15" s="229"/>
    </row>
    <row r="16" spans="1:32" ht="17.25" customHeight="1" x14ac:dyDescent="0.2">
      <c r="A16" s="200"/>
      <c r="B16" s="221"/>
      <c r="C16" s="221"/>
      <c r="D16" s="206"/>
      <c r="E16" s="221"/>
      <c r="F16" s="221"/>
      <c r="G16" s="221"/>
      <c r="H16" s="224">
        <v>6</v>
      </c>
      <c r="I16" s="227" t="s">
        <v>285</v>
      </c>
      <c r="J16" s="221">
        <f>('SIGNAL Refresh'!AD34+'SIGNAL Refresh'!AD76)</f>
        <v>30</v>
      </c>
      <c r="K16" s="147" t="s">
        <v>286</v>
      </c>
      <c r="L16" s="145">
        <v>6</v>
      </c>
      <c r="M16" s="145">
        <v>7</v>
      </c>
      <c r="N16" s="218">
        <f t="shared" ref="N16" si="11">J16*50</f>
        <v>1500</v>
      </c>
      <c r="O16" s="224">
        <v>6</v>
      </c>
      <c r="P16" s="221" t="s">
        <v>324</v>
      </c>
      <c r="Q16" s="218">
        <f>('SIGNAL Refresh'!BB34+'SIGNAL Refresh'!BB76)</f>
        <v>29</v>
      </c>
      <c r="R16" s="153" t="s">
        <v>286</v>
      </c>
      <c r="S16" s="150">
        <v>6</v>
      </c>
      <c r="T16" s="150">
        <v>7</v>
      </c>
      <c r="U16" s="221">
        <f t="shared" si="8"/>
        <v>1450</v>
      </c>
      <c r="V16" s="200"/>
      <c r="W16" s="201"/>
      <c r="X16" s="203"/>
      <c r="Y16" s="208"/>
      <c r="Z16" s="206"/>
      <c r="AA16" s="206"/>
      <c r="AB16" s="203"/>
      <c r="AC16" s="229"/>
      <c r="AD16" s="229"/>
      <c r="AE16" s="229"/>
      <c r="AF16" s="229"/>
    </row>
    <row r="17" spans="1:32" ht="17.25" customHeight="1" x14ac:dyDescent="0.2">
      <c r="A17" s="200"/>
      <c r="B17" s="222"/>
      <c r="C17" s="222"/>
      <c r="D17" s="207"/>
      <c r="E17" s="222"/>
      <c r="F17" s="222"/>
      <c r="G17" s="222"/>
      <c r="H17" s="225"/>
      <c r="I17" s="228"/>
      <c r="J17" s="222"/>
      <c r="K17" s="147" t="s">
        <v>301</v>
      </c>
      <c r="L17" s="145">
        <v>1</v>
      </c>
      <c r="M17" s="145">
        <v>8</v>
      </c>
      <c r="N17" s="218"/>
      <c r="O17" s="225"/>
      <c r="P17" s="222"/>
      <c r="Q17" s="218"/>
      <c r="R17" s="152" t="s">
        <v>301</v>
      </c>
      <c r="S17" s="148">
        <v>1</v>
      </c>
      <c r="T17" s="148">
        <v>8</v>
      </c>
      <c r="U17" s="222"/>
      <c r="V17" s="200"/>
      <c r="W17" s="202"/>
      <c r="X17" s="203"/>
      <c r="Y17" s="209"/>
      <c r="Z17" s="207"/>
      <c r="AA17" s="207"/>
      <c r="AB17" s="203"/>
      <c r="AC17" s="229"/>
      <c r="AD17" s="229"/>
      <c r="AE17" s="229"/>
      <c r="AF17" s="229"/>
    </row>
    <row r="18" spans="1:32" ht="17.25" customHeight="1" x14ac:dyDescent="0.2">
      <c r="A18" s="200"/>
      <c r="B18" s="204"/>
      <c r="C18" s="206"/>
      <c r="D18" s="208"/>
      <c r="E18" s="206"/>
      <c r="F18" s="206"/>
      <c r="G18" s="206"/>
      <c r="H18" s="224">
        <v>7</v>
      </c>
      <c r="I18" s="227" t="s">
        <v>287</v>
      </c>
      <c r="J18" s="221">
        <f>('SIGNAL Refresh'!AE34+'SIGNAL Refresh'!AE76)</f>
        <v>30</v>
      </c>
      <c r="K18" s="147" t="s">
        <v>298</v>
      </c>
      <c r="L18" s="145">
        <v>3</v>
      </c>
      <c r="M18" s="145">
        <v>15</v>
      </c>
      <c r="N18" s="218">
        <f t="shared" ref="N18:N20" si="12">J18*50</f>
        <v>1500</v>
      </c>
      <c r="O18" s="224">
        <v>7</v>
      </c>
      <c r="P18" s="221" t="s">
        <v>325</v>
      </c>
      <c r="Q18" s="218">
        <f>('SIGNAL Refresh'!BC34+'SIGNAL Refresh'!BC76)</f>
        <v>29</v>
      </c>
      <c r="R18" s="153" t="s">
        <v>315</v>
      </c>
      <c r="S18" s="150">
        <v>1</v>
      </c>
      <c r="T18" s="150">
        <v>42</v>
      </c>
      <c r="U18" s="221">
        <f t="shared" ref="U18" si="13">Q18*50</f>
        <v>1450</v>
      </c>
      <c r="V18" s="200"/>
      <c r="W18" s="210"/>
      <c r="X18" s="206"/>
      <c r="Y18" s="206"/>
      <c r="Z18" s="206"/>
      <c r="AA18" s="206"/>
      <c r="AB18" s="203"/>
      <c r="AC18" s="229"/>
      <c r="AD18" s="229"/>
      <c r="AE18" s="229"/>
      <c r="AF18" s="229"/>
    </row>
    <row r="19" spans="1:32" ht="13.5" customHeight="1" x14ac:dyDescent="0.2">
      <c r="A19" s="200"/>
      <c r="B19" s="205"/>
      <c r="C19" s="207"/>
      <c r="D19" s="209"/>
      <c r="E19" s="207"/>
      <c r="F19" s="207"/>
      <c r="G19" s="207"/>
      <c r="H19" s="225"/>
      <c r="I19" s="228"/>
      <c r="J19" s="222"/>
      <c r="K19" s="147" t="s">
        <v>304</v>
      </c>
      <c r="L19" s="145">
        <v>1</v>
      </c>
      <c r="M19" s="145">
        <v>5</v>
      </c>
      <c r="N19" s="218"/>
      <c r="O19" s="225"/>
      <c r="P19" s="222"/>
      <c r="Q19" s="218"/>
      <c r="R19" s="152" t="s">
        <v>296</v>
      </c>
      <c r="S19" s="148">
        <v>1</v>
      </c>
      <c r="T19" s="148">
        <v>8</v>
      </c>
      <c r="U19" s="222"/>
      <c r="V19" s="200"/>
      <c r="W19" s="211"/>
      <c r="X19" s="207"/>
      <c r="Y19" s="207"/>
      <c r="Z19" s="207"/>
      <c r="AA19" s="207"/>
      <c r="AB19" s="203"/>
      <c r="AC19" s="229"/>
      <c r="AD19" s="229"/>
      <c r="AE19" s="229"/>
      <c r="AF19" s="229"/>
    </row>
    <row r="20" spans="1:32" ht="17.25" customHeight="1" x14ac:dyDescent="0.2">
      <c r="A20" s="200"/>
      <c r="B20" s="204"/>
      <c r="C20" s="206"/>
      <c r="D20" s="208"/>
      <c r="E20" s="206"/>
      <c r="F20" s="206"/>
      <c r="G20" s="206"/>
      <c r="H20" s="224">
        <v>8</v>
      </c>
      <c r="I20" s="227" t="s">
        <v>293</v>
      </c>
      <c r="J20" s="221">
        <f>('SIGNAL Refresh'!AF34+'SIGNAL Refresh'!AF76)</f>
        <v>30</v>
      </c>
      <c r="K20" s="147" t="s">
        <v>305</v>
      </c>
      <c r="L20" s="145">
        <v>1</v>
      </c>
      <c r="M20" s="145">
        <v>38</v>
      </c>
      <c r="N20" s="223">
        <f t="shared" si="12"/>
        <v>1500</v>
      </c>
      <c r="O20" s="224">
        <v>8</v>
      </c>
      <c r="P20" s="221" t="s">
        <v>326</v>
      </c>
      <c r="Q20" s="218">
        <f>('SIGNAL Refresh'!BD34+'SIGNAL Refresh'!BD76)</f>
        <v>29</v>
      </c>
      <c r="R20" s="153" t="s">
        <v>297</v>
      </c>
      <c r="S20" s="150">
        <v>3</v>
      </c>
      <c r="T20" s="150">
        <v>15</v>
      </c>
      <c r="U20" s="221">
        <f t="shared" si="8"/>
        <v>1450</v>
      </c>
      <c r="V20" s="200"/>
      <c r="W20" s="210"/>
      <c r="X20" s="203"/>
      <c r="Y20" s="206"/>
      <c r="Z20" s="206"/>
      <c r="AA20" s="206"/>
      <c r="AB20" s="203"/>
      <c r="AC20" s="229"/>
      <c r="AD20" s="229"/>
      <c r="AE20" s="229"/>
      <c r="AF20" s="229"/>
    </row>
    <row r="21" spans="1:32" ht="17.25" customHeight="1" x14ac:dyDescent="0.2">
      <c r="A21" s="200"/>
      <c r="B21" s="205"/>
      <c r="C21" s="207"/>
      <c r="D21" s="209"/>
      <c r="E21" s="207"/>
      <c r="F21" s="207"/>
      <c r="G21" s="207"/>
      <c r="H21" s="225"/>
      <c r="I21" s="228"/>
      <c r="J21" s="222"/>
      <c r="K21" s="147" t="s">
        <v>300</v>
      </c>
      <c r="L21" s="145">
        <v>1</v>
      </c>
      <c r="M21" s="145">
        <v>12</v>
      </c>
      <c r="N21" s="223"/>
      <c r="O21" s="225"/>
      <c r="P21" s="222"/>
      <c r="Q21" s="218"/>
      <c r="R21" s="152" t="s">
        <v>304</v>
      </c>
      <c r="S21" s="148">
        <v>1</v>
      </c>
      <c r="T21" s="148">
        <v>5</v>
      </c>
      <c r="U21" s="222"/>
      <c r="V21" s="200"/>
      <c r="W21" s="211"/>
      <c r="X21" s="203"/>
      <c r="Y21" s="207"/>
      <c r="Z21" s="207"/>
      <c r="AA21" s="207"/>
      <c r="AB21" s="203"/>
      <c r="AC21" s="229"/>
      <c r="AD21" s="229"/>
      <c r="AE21" s="229"/>
      <c r="AF21" s="229"/>
    </row>
    <row r="22" spans="1:32" ht="24.75" customHeight="1" x14ac:dyDescent="0.3">
      <c r="A22" s="16"/>
      <c r="B22" s="41" t="s">
        <v>43</v>
      </c>
      <c r="C22" s="99">
        <f>SUM(C6:C21)</f>
        <v>129</v>
      </c>
      <c r="D22" s="1"/>
      <c r="E22" s="1"/>
      <c r="F22" s="1"/>
      <c r="G22" s="99">
        <f>SUM(G6:G21)</f>
        <v>6450</v>
      </c>
      <c r="H22" s="16"/>
      <c r="I22" s="41" t="s">
        <v>43</v>
      </c>
      <c r="J22" s="99">
        <f>SUM(J6:J21)</f>
        <v>243</v>
      </c>
      <c r="K22" s="1"/>
      <c r="L22" s="1"/>
      <c r="M22" s="1"/>
      <c r="N22" s="99">
        <f>SUM(N6:N21)</f>
        <v>12150</v>
      </c>
      <c r="O22" s="16"/>
      <c r="P22" s="41" t="s">
        <v>43</v>
      </c>
      <c r="Q22" s="99">
        <f>SUM(Q6:Q21)</f>
        <v>230</v>
      </c>
      <c r="R22" s="1"/>
      <c r="S22" s="110"/>
      <c r="T22" s="110"/>
      <c r="U22" s="99">
        <f>SUM(U6:U21)</f>
        <v>11500</v>
      </c>
      <c r="V22" s="16"/>
      <c r="W22" s="41" t="s">
        <v>43</v>
      </c>
      <c r="X22" s="60">
        <f>SUM(X6:X21)</f>
        <v>120</v>
      </c>
      <c r="Y22" s="1"/>
      <c r="Z22" s="1"/>
      <c r="AA22" s="1"/>
      <c r="AB22" s="60">
        <f>SUM(AB6:AB21)</f>
        <v>6000</v>
      </c>
      <c r="AC22" s="229"/>
      <c r="AD22" s="229"/>
      <c r="AE22" s="229"/>
      <c r="AF22" s="229"/>
    </row>
    <row r="23" spans="1:32" ht="12" customHeight="1" x14ac:dyDescent="0.2">
      <c r="A23" s="48"/>
      <c r="H23" s="48"/>
      <c r="O23" s="48"/>
      <c r="V23" s="48"/>
      <c r="AC23" s="229"/>
      <c r="AD23" s="229"/>
      <c r="AE23" s="229"/>
      <c r="AF23" s="229"/>
    </row>
    <row r="24" spans="1:32" ht="15.6" x14ac:dyDescent="0.3">
      <c r="A24" s="42" t="s">
        <v>42</v>
      </c>
      <c r="B24" s="226" t="s">
        <v>337</v>
      </c>
      <c r="C24" s="226"/>
      <c r="D24" s="226"/>
      <c r="E24" s="226"/>
      <c r="F24" s="226"/>
      <c r="H24" s="42" t="s">
        <v>42</v>
      </c>
      <c r="I24" s="226" t="s">
        <v>295</v>
      </c>
      <c r="J24" s="226"/>
      <c r="K24" s="226"/>
      <c r="L24" s="226"/>
      <c r="M24" s="226"/>
      <c r="O24" s="42" t="s">
        <v>42</v>
      </c>
      <c r="P24" s="226" t="s">
        <v>257</v>
      </c>
      <c r="Q24" s="226"/>
      <c r="R24" s="226"/>
      <c r="S24" s="226"/>
      <c r="T24" s="226"/>
      <c r="V24" s="42" t="s">
        <v>338</v>
      </c>
      <c r="W24" s="212" t="s">
        <v>339</v>
      </c>
      <c r="X24" s="212"/>
      <c r="Y24" s="212"/>
      <c r="Z24" s="212"/>
      <c r="AA24" s="212"/>
    </row>
    <row r="25" spans="1:32" ht="17.100000000000001" customHeight="1" x14ac:dyDescent="0.2"/>
    <row r="26" spans="1:32" x14ac:dyDescent="0.2">
      <c r="F26" s="171" t="s">
        <v>41</v>
      </c>
      <c r="M26" s="171" t="s">
        <v>41</v>
      </c>
      <c r="T26" s="171" t="s">
        <v>41</v>
      </c>
      <c r="AA26" s="171" t="s">
        <v>41</v>
      </c>
    </row>
    <row r="27" spans="1:32" x14ac:dyDescent="0.2">
      <c r="F27" s="172"/>
      <c r="M27" s="172"/>
      <c r="T27" s="172"/>
      <c r="AA27" s="172"/>
    </row>
    <row r="28" spans="1:32" ht="13.2" x14ac:dyDescent="0.25">
      <c r="A28" s="26" t="s">
        <v>335</v>
      </c>
      <c r="F28" s="172"/>
      <c r="H28" s="26" t="s">
        <v>33</v>
      </c>
      <c r="I28" t="s">
        <v>336</v>
      </c>
      <c r="M28" s="172"/>
      <c r="O28" s="26" t="s">
        <v>33</v>
      </c>
      <c r="P28" t="s">
        <v>336</v>
      </c>
      <c r="T28" s="172"/>
      <c r="V28" s="26" t="s">
        <v>335</v>
      </c>
      <c r="AA28" s="172"/>
    </row>
    <row r="29" spans="1:32" ht="13.2" x14ac:dyDescent="0.25">
      <c r="A29" s="46" t="s">
        <v>32</v>
      </c>
      <c r="F29" s="213"/>
      <c r="H29" s="46" t="s">
        <v>32</v>
      </c>
      <c r="M29" s="213"/>
      <c r="O29" s="46" t="s">
        <v>32</v>
      </c>
      <c r="T29" s="213"/>
      <c r="V29" s="46" t="s">
        <v>32</v>
      </c>
      <c r="AA29" s="213"/>
    </row>
    <row r="30" spans="1:32" ht="9.6" customHeight="1" x14ac:dyDescent="0.2">
      <c r="E30" t="s">
        <v>40</v>
      </c>
      <c r="F30" s="40"/>
      <c r="L30" t="s">
        <v>40</v>
      </c>
      <c r="M30" s="40"/>
      <c r="S30" t="s">
        <v>40</v>
      </c>
      <c r="T30" s="40"/>
      <c r="Z30" t="s">
        <v>40</v>
      </c>
      <c r="AA30" s="40"/>
    </row>
    <row r="31" spans="1:32" ht="22.5" customHeight="1" x14ac:dyDescent="0.25">
      <c r="A31" s="42" t="s">
        <v>39</v>
      </c>
      <c r="B31" s="42"/>
      <c r="C31" s="42"/>
      <c r="D31" s="42"/>
      <c r="E31" s="42"/>
      <c r="F31" s="42"/>
      <c r="G31" s="42"/>
      <c r="H31" s="42" t="s">
        <v>39</v>
      </c>
      <c r="I31" s="42"/>
      <c r="J31" s="42"/>
      <c r="K31" s="42"/>
      <c r="L31" s="42"/>
      <c r="M31" s="42"/>
      <c r="N31" s="42"/>
      <c r="O31" s="42" t="s">
        <v>39</v>
      </c>
      <c r="P31" s="42"/>
      <c r="Q31" s="42"/>
      <c r="R31" s="42"/>
      <c r="S31" s="42"/>
      <c r="T31" s="42"/>
      <c r="U31" s="42"/>
      <c r="V31" s="42" t="s">
        <v>39</v>
      </c>
      <c r="W31" s="42"/>
      <c r="X31" s="42"/>
      <c r="Y31" s="42"/>
      <c r="Z31" s="42"/>
      <c r="AA31" s="42"/>
      <c r="AB31" s="42"/>
    </row>
    <row r="32" spans="1:32" ht="13.2" x14ac:dyDescent="0.25">
      <c r="A32" s="42" t="s">
        <v>38</v>
      </c>
      <c r="H32" s="42" t="s">
        <v>38</v>
      </c>
      <c r="O32" s="42" t="s">
        <v>38</v>
      </c>
      <c r="V32" s="42" t="s">
        <v>38</v>
      </c>
    </row>
    <row r="33" spans="1:28" ht="13.2" x14ac:dyDescent="0.25">
      <c r="A33" s="42" t="s">
        <v>37</v>
      </c>
      <c r="H33" s="42" t="s">
        <v>37</v>
      </c>
      <c r="O33" s="42" t="s">
        <v>37</v>
      </c>
      <c r="V33" s="42" t="s">
        <v>37</v>
      </c>
    </row>
    <row r="34" spans="1:28" ht="13.2" x14ac:dyDescent="0.25">
      <c r="A34" s="42" t="s">
        <v>36</v>
      </c>
      <c r="H34" s="42" t="s">
        <v>36</v>
      </c>
      <c r="O34" s="42" t="s">
        <v>36</v>
      </c>
      <c r="V34" s="42" t="s">
        <v>36</v>
      </c>
    </row>
    <row r="35" spans="1:28" ht="13.2" x14ac:dyDescent="0.25">
      <c r="A35" s="42" t="s">
        <v>35</v>
      </c>
      <c r="H35" s="42" t="s">
        <v>35</v>
      </c>
      <c r="O35" s="42" t="s">
        <v>35</v>
      </c>
      <c r="V35" s="42" t="s">
        <v>35</v>
      </c>
    </row>
    <row r="36" spans="1:28" ht="13.2" x14ac:dyDescent="0.25">
      <c r="A36" s="42" t="s">
        <v>34</v>
      </c>
      <c r="H36" s="42" t="s">
        <v>34</v>
      </c>
      <c r="O36" s="42" t="s">
        <v>34</v>
      </c>
      <c r="V36" s="42" t="s">
        <v>34</v>
      </c>
    </row>
    <row r="38" spans="1:28" ht="13.2" x14ac:dyDescent="0.25">
      <c r="A38" s="26" t="s">
        <v>33</v>
      </c>
      <c r="H38" s="26" t="s">
        <v>33</v>
      </c>
      <c r="O38" s="26" t="s">
        <v>33</v>
      </c>
      <c r="V38" s="26" t="s">
        <v>33</v>
      </c>
    </row>
    <row r="39" spans="1:28" ht="13.2" x14ac:dyDescent="0.25">
      <c r="A39" s="46" t="s">
        <v>32</v>
      </c>
      <c r="E39" t="s">
        <v>31</v>
      </c>
      <c r="H39" s="46" t="s">
        <v>32</v>
      </c>
      <c r="L39" t="s">
        <v>31</v>
      </c>
      <c r="O39" s="46" t="s">
        <v>32</v>
      </c>
      <c r="S39" t="s">
        <v>31</v>
      </c>
      <c r="V39" s="46" t="s">
        <v>32</v>
      </c>
      <c r="Z39" t="s">
        <v>31</v>
      </c>
    </row>
    <row r="41" spans="1:28" ht="13.2" x14ac:dyDescent="0.25">
      <c r="C41" t="s">
        <v>30</v>
      </c>
      <c r="J41" t="s">
        <v>30</v>
      </c>
      <c r="Q41" t="s">
        <v>30</v>
      </c>
      <c r="X41" t="s">
        <v>30</v>
      </c>
    </row>
    <row r="42" spans="1:28" ht="10.5" customHeight="1" x14ac:dyDescent="0.2">
      <c r="C42" t="s">
        <v>29</v>
      </c>
      <c r="J42" t="s">
        <v>29</v>
      </c>
      <c r="Q42" t="s">
        <v>29</v>
      </c>
      <c r="X42" t="s">
        <v>29</v>
      </c>
    </row>
    <row r="43" spans="1:28" ht="12" customHeight="1" x14ac:dyDescent="0.25">
      <c r="A43" s="44"/>
      <c r="B43" s="2"/>
      <c r="C43" s="2"/>
      <c r="D43" s="2"/>
      <c r="E43" s="2"/>
      <c r="F43" s="2"/>
      <c r="G43" s="2"/>
      <c r="H43" s="44"/>
      <c r="I43" s="2"/>
      <c r="J43" s="2"/>
      <c r="K43" s="2"/>
      <c r="L43" s="2"/>
      <c r="M43" s="2"/>
      <c r="N43" s="2"/>
      <c r="O43" s="44"/>
      <c r="P43" s="2"/>
      <c r="Q43" s="2"/>
      <c r="R43" s="2"/>
      <c r="S43" s="2"/>
      <c r="T43" s="2"/>
      <c r="U43" s="2"/>
      <c r="V43" s="44"/>
      <c r="W43" s="2"/>
      <c r="X43" s="2"/>
      <c r="Y43" s="2"/>
      <c r="Z43" s="2"/>
      <c r="AA43" s="2"/>
      <c r="AB43" s="2"/>
    </row>
    <row r="44" spans="1:28" x14ac:dyDescent="0.2">
      <c r="D44" s="43" t="s">
        <v>28</v>
      </c>
      <c r="K44" s="43" t="s">
        <v>28</v>
      </c>
      <c r="R44" s="43" t="s">
        <v>28</v>
      </c>
      <c r="Y44" s="43" t="s">
        <v>28</v>
      </c>
    </row>
    <row r="45" spans="1:28" ht="15.75" customHeight="1" x14ac:dyDescent="0.25">
      <c r="A45" s="42" t="s">
        <v>27</v>
      </c>
      <c r="H45" s="42" t="s">
        <v>27</v>
      </c>
      <c r="O45" s="42" t="s">
        <v>27</v>
      </c>
      <c r="V45" s="42" t="s">
        <v>27</v>
      </c>
    </row>
    <row r="46" spans="1:28" ht="21.75" customHeight="1" x14ac:dyDescent="0.25">
      <c r="A46" s="42" t="s">
        <v>26</v>
      </c>
      <c r="H46" s="42" t="s">
        <v>26</v>
      </c>
      <c r="O46" s="42" t="s">
        <v>26</v>
      </c>
      <c r="V46" s="42" t="s">
        <v>26</v>
      </c>
    </row>
    <row r="47" spans="1:28" ht="21" customHeight="1" x14ac:dyDescent="0.25">
      <c r="A47" s="42" t="s">
        <v>25</v>
      </c>
      <c r="H47" s="42" t="s">
        <v>25</v>
      </c>
      <c r="O47" s="42" t="s">
        <v>25</v>
      </c>
      <c r="V47" s="42" t="s">
        <v>25</v>
      </c>
    </row>
    <row r="49" spans="1:21" ht="21.75" customHeight="1" x14ac:dyDescent="0.3">
      <c r="A49" s="198" t="s">
        <v>52</v>
      </c>
      <c r="B49" s="198"/>
      <c r="C49" s="198"/>
      <c r="D49" s="198"/>
      <c r="E49" s="198"/>
      <c r="F49" s="198"/>
      <c r="G49" s="198"/>
      <c r="H49" s="198" t="s">
        <v>52</v>
      </c>
      <c r="I49" s="198"/>
      <c r="J49" s="198"/>
      <c r="K49" s="198"/>
      <c r="L49" s="198"/>
      <c r="M49" s="198"/>
      <c r="N49" s="198"/>
      <c r="O49" s="198" t="s">
        <v>52</v>
      </c>
      <c r="P49" s="198"/>
      <c r="Q49" s="198"/>
      <c r="R49" s="198"/>
      <c r="S49" s="198"/>
      <c r="T49" s="198"/>
      <c r="U49" s="198"/>
    </row>
    <row r="50" spans="1:21" ht="22.5" customHeight="1" x14ac:dyDescent="0.25">
      <c r="A50" s="45" t="s">
        <v>51</v>
      </c>
      <c r="H50" s="45" t="s">
        <v>51</v>
      </c>
      <c r="O50" s="45" t="s">
        <v>51</v>
      </c>
    </row>
    <row r="51" spans="1:21" ht="18.75" customHeight="1" x14ac:dyDescent="0.3">
      <c r="A51" s="45" t="s">
        <v>55</v>
      </c>
      <c r="D51" s="199" t="s">
        <v>211</v>
      </c>
      <c r="E51" s="199"/>
      <c r="F51" s="199"/>
      <c r="H51" s="45" t="s">
        <v>55</v>
      </c>
      <c r="K51" s="199" t="s">
        <v>210</v>
      </c>
      <c r="L51" s="199"/>
      <c r="M51" s="199"/>
      <c r="O51" s="45" t="s">
        <v>55</v>
      </c>
      <c r="R51" s="199" t="s">
        <v>209</v>
      </c>
      <c r="S51" s="199"/>
      <c r="T51" s="199"/>
    </row>
    <row r="52" spans="1:21" ht="15" x14ac:dyDescent="0.25">
      <c r="A52" s="45"/>
      <c r="H52" s="45"/>
      <c r="O52" s="45"/>
    </row>
    <row r="53" spans="1:21" ht="66" x14ac:dyDescent="0.25">
      <c r="A53" s="27" t="s">
        <v>50</v>
      </c>
      <c r="B53" s="14" t="s">
        <v>49</v>
      </c>
      <c r="C53" s="14" t="s">
        <v>48</v>
      </c>
      <c r="D53" s="49" t="s">
        <v>47</v>
      </c>
      <c r="E53" s="49" t="s">
        <v>46</v>
      </c>
      <c r="F53" s="49" t="s">
        <v>45</v>
      </c>
      <c r="G53" s="27" t="s">
        <v>44</v>
      </c>
      <c r="H53" s="27" t="s">
        <v>50</v>
      </c>
      <c r="I53" s="14" t="s">
        <v>49</v>
      </c>
      <c r="J53" s="14" t="s">
        <v>48</v>
      </c>
      <c r="K53" s="49" t="s">
        <v>47</v>
      </c>
      <c r="L53" s="49" t="s">
        <v>46</v>
      </c>
      <c r="M53" s="49" t="s">
        <v>45</v>
      </c>
      <c r="N53" s="27" t="s">
        <v>44</v>
      </c>
      <c r="O53" s="27" t="s">
        <v>50</v>
      </c>
      <c r="P53" s="14" t="s">
        <v>49</v>
      </c>
      <c r="Q53" s="14" t="s">
        <v>48</v>
      </c>
      <c r="R53" s="49" t="s">
        <v>47</v>
      </c>
      <c r="S53" s="49" t="s">
        <v>46</v>
      </c>
      <c r="T53" s="49" t="s">
        <v>45</v>
      </c>
      <c r="U53" s="27" t="s">
        <v>44</v>
      </c>
    </row>
    <row r="54" spans="1:21" ht="17.25" customHeight="1" x14ac:dyDescent="0.2">
      <c r="A54" s="200">
        <v>1</v>
      </c>
      <c r="B54" s="218"/>
      <c r="C54" s="218"/>
      <c r="D54" s="208"/>
      <c r="E54" s="221"/>
      <c r="F54" s="221"/>
      <c r="G54" s="218">
        <f>C54*50</f>
        <v>0</v>
      </c>
      <c r="H54" s="200">
        <v>1</v>
      </c>
      <c r="I54" s="218"/>
      <c r="J54" s="218"/>
      <c r="K54" s="208"/>
      <c r="L54" s="221"/>
      <c r="M54" s="221"/>
      <c r="N54" s="218">
        <f>J54*50</f>
        <v>0</v>
      </c>
      <c r="O54" s="200">
        <v>1</v>
      </c>
      <c r="P54" s="218"/>
      <c r="Q54" s="218"/>
      <c r="R54" s="208"/>
      <c r="S54" s="221"/>
      <c r="T54" s="221"/>
      <c r="U54" s="218">
        <f>Q54*50</f>
        <v>0</v>
      </c>
    </row>
    <row r="55" spans="1:21" ht="17.25" customHeight="1" x14ac:dyDescent="0.2">
      <c r="A55" s="200"/>
      <c r="B55" s="220"/>
      <c r="C55" s="218"/>
      <c r="D55" s="209"/>
      <c r="E55" s="222"/>
      <c r="F55" s="222"/>
      <c r="G55" s="218"/>
      <c r="H55" s="200"/>
      <c r="I55" s="220"/>
      <c r="J55" s="218"/>
      <c r="K55" s="209"/>
      <c r="L55" s="222"/>
      <c r="M55" s="222"/>
      <c r="N55" s="218"/>
      <c r="O55" s="200"/>
      <c r="P55" s="220"/>
      <c r="Q55" s="218"/>
      <c r="R55" s="209"/>
      <c r="S55" s="222"/>
      <c r="T55" s="222"/>
      <c r="U55" s="218"/>
    </row>
    <row r="56" spans="1:21" ht="17.25" customHeight="1" x14ac:dyDescent="0.3">
      <c r="A56" s="200">
        <v>2</v>
      </c>
      <c r="B56" s="218"/>
      <c r="C56" s="218"/>
      <c r="D56" s="208"/>
      <c r="E56" s="221"/>
      <c r="F56" s="221"/>
      <c r="G56" s="218">
        <f t="shared" ref="G56" si="14">C56*50</f>
        <v>0</v>
      </c>
      <c r="H56" s="200">
        <v>2</v>
      </c>
      <c r="I56" s="218"/>
      <c r="J56" s="218"/>
      <c r="K56" s="61"/>
      <c r="L56" s="99"/>
      <c r="M56" s="99"/>
      <c r="N56" s="218">
        <f t="shared" ref="N56" si="15">J56*50</f>
        <v>0</v>
      </c>
      <c r="O56" s="200">
        <v>2</v>
      </c>
      <c r="P56" s="218"/>
      <c r="Q56" s="218"/>
      <c r="R56" s="61"/>
      <c r="S56" s="99"/>
      <c r="T56" s="99"/>
      <c r="U56" s="218">
        <f t="shared" ref="U56" si="16">Q56*50</f>
        <v>0</v>
      </c>
    </row>
    <row r="57" spans="1:21" ht="17.25" customHeight="1" x14ac:dyDescent="0.3">
      <c r="A57" s="200"/>
      <c r="B57" s="220"/>
      <c r="C57" s="218"/>
      <c r="D57" s="209"/>
      <c r="E57" s="222"/>
      <c r="F57" s="222"/>
      <c r="G57" s="218"/>
      <c r="H57" s="200"/>
      <c r="I57" s="220"/>
      <c r="J57" s="218"/>
      <c r="K57" s="61"/>
      <c r="L57" s="99"/>
      <c r="M57" s="99"/>
      <c r="N57" s="218"/>
      <c r="O57" s="200"/>
      <c r="P57" s="220"/>
      <c r="Q57" s="218"/>
      <c r="R57" s="61"/>
      <c r="S57" s="99"/>
      <c r="T57" s="99"/>
      <c r="U57" s="218"/>
    </row>
    <row r="58" spans="1:21" ht="17.25" customHeight="1" x14ac:dyDescent="0.3">
      <c r="A58" s="200">
        <v>3</v>
      </c>
      <c r="B58" s="218"/>
      <c r="C58" s="218"/>
      <c r="D58" s="61"/>
      <c r="E58" s="99"/>
      <c r="F58" s="99"/>
      <c r="G58" s="218">
        <f t="shared" ref="G58" si="17">C58*50</f>
        <v>0</v>
      </c>
      <c r="H58" s="200">
        <v>3</v>
      </c>
      <c r="I58" s="218"/>
      <c r="J58" s="218"/>
      <c r="K58" s="208"/>
      <c r="L58" s="221"/>
      <c r="M58" s="221"/>
      <c r="N58" s="218">
        <f t="shared" ref="N58" si="18">J58*50</f>
        <v>0</v>
      </c>
      <c r="O58" s="200">
        <v>3</v>
      </c>
      <c r="P58" s="218"/>
      <c r="Q58" s="218"/>
      <c r="R58" s="208"/>
      <c r="S58" s="221"/>
      <c r="T58" s="221"/>
      <c r="U58" s="218">
        <f t="shared" ref="U58" si="19">Q58*50</f>
        <v>0</v>
      </c>
    </row>
    <row r="59" spans="1:21" ht="17.25" customHeight="1" x14ac:dyDescent="0.3">
      <c r="A59" s="200"/>
      <c r="B59" s="220"/>
      <c r="C59" s="218"/>
      <c r="D59" s="61"/>
      <c r="E59" s="99"/>
      <c r="F59" s="99"/>
      <c r="G59" s="218"/>
      <c r="H59" s="200"/>
      <c r="I59" s="220"/>
      <c r="J59" s="218"/>
      <c r="K59" s="209"/>
      <c r="L59" s="222"/>
      <c r="M59" s="222"/>
      <c r="N59" s="218"/>
      <c r="O59" s="200"/>
      <c r="P59" s="220"/>
      <c r="Q59" s="218"/>
      <c r="R59" s="209"/>
      <c r="S59" s="222"/>
      <c r="T59" s="222"/>
      <c r="U59" s="218"/>
    </row>
    <row r="60" spans="1:21" ht="17.25" customHeight="1" x14ac:dyDescent="0.2">
      <c r="A60" s="200">
        <v>4</v>
      </c>
      <c r="B60" s="218"/>
      <c r="C60" s="218"/>
      <c r="D60" s="208"/>
      <c r="E60" s="221"/>
      <c r="F60" s="221"/>
      <c r="G60" s="218">
        <f t="shared" ref="G60" si="20">C60*50</f>
        <v>0</v>
      </c>
      <c r="H60" s="200">
        <v>4</v>
      </c>
      <c r="I60" s="218"/>
      <c r="J60" s="218"/>
      <c r="K60" s="208"/>
      <c r="L60" s="221"/>
      <c r="M60" s="221"/>
      <c r="N60" s="218">
        <f t="shared" ref="N60" si="21">J60*50</f>
        <v>0</v>
      </c>
      <c r="O60" s="200">
        <v>4</v>
      </c>
      <c r="P60" s="218"/>
      <c r="Q60" s="218"/>
      <c r="R60" s="208"/>
      <c r="S60" s="221"/>
      <c r="T60" s="221"/>
      <c r="U60" s="218">
        <f t="shared" ref="U60" si="22">Q60*50</f>
        <v>0</v>
      </c>
    </row>
    <row r="61" spans="1:21" ht="17.25" customHeight="1" x14ac:dyDescent="0.2">
      <c r="A61" s="200"/>
      <c r="B61" s="220"/>
      <c r="C61" s="218"/>
      <c r="D61" s="209"/>
      <c r="E61" s="222"/>
      <c r="F61" s="222"/>
      <c r="G61" s="218"/>
      <c r="H61" s="200"/>
      <c r="I61" s="220"/>
      <c r="J61" s="218"/>
      <c r="K61" s="209"/>
      <c r="L61" s="222"/>
      <c r="M61" s="222"/>
      <c r="N61" s="218"/>
      <c r="O61" s="200"/>
      <c r="P61" s="220"/>
      <c r="Q61" s="218"/>
      <c r="R61" s="209"/>
      <c r="S61" s="222"/>
      <c r="T61" s="222"/>
      <c r="U61" s="218"/>
    </row>
    <row r="62" spans="1:21" ht="17.25" customHeight="1" x14ac:dyDescent="0.3">
      <c r="A62" s="200">
        <v>5</v>
      </c>
      <c r="B62" s="218"/>
      <c r="C62" s="218"/>
      <c r="D62" s="208"/>
      <c r="E62" s="221"/>
      <c r="F62" s="221"/>
      <c r="G62" s="218">
        <f t="shared" ref="G62" si="23">C62*50</f>
        <v>0</v>
      </c>
      <c r="H62" s="200">
        <v>5</v>
      </c>
      <c r="I62" s="218"/>
      <c r="J62" s="218"/>
      <c r="K62" s="61"/>
      <c r="L62" s="99"/>
      <c r="M62" s="99"/>
      <c r="N62" s="218">
        <f t="shared" ref="N62" si="24">J62*50</f>
        <v>0</v>
      </c>
      <c r="O62" s="200"/>
      <c r="P62" s="201"/>
      <c r="Q62" s="203"/>
      <c r="R62" s="208"/>
      <c r="S62" s="206"/>
      <c r="T62" s="206"/>
      <c r="U62" s="202"/>
    </row>
    <row r="63" spans="1:21" ht="17.25" customHeight="1" x14ac:dyDescent="0.3">
      <c r="A63" s="200"/>
      <c r="B63" s="220"/>
      <c r="C63" s="218"/>
      <c r="D63" s="209"/>
      <c r="E63" s="222"/>
      <c r="F63" s="222"/>
      <c r="G63" s="218"/>
      <c r="H63" s="200"/>
      <c r="I63" s="220"/>
      <c r="J63" s="218"/>
      <c r="K63" s="61"/>
      <c r="L63" s="99"/>
      <c r="M63" s="99"/>
      <c r="N63" s="218"/>
      <c r="O63" s="200"/>
      <c r="P63" s="202"/>
      <c r="Q63" s="203"/>
      <c r="R63" s="209"/>
      <c r="S63" s="207"/>
      <c r="T63" s="207"/>
      <c r="U63" s="202"/>
    </row>
    <row r="64" spans="1:21" ht="17.25" customHeight="1" x14ac:dyDescent="0.2">
      <c r="A64" s="200"/>
      <c r="B64" s="201"/>
      <c r="C64" s="203"/>
      <c r="D64" s="208"/>
      <c r="E64" s="206"/>
      <c r="F64" s="206"/>
      <c r="G64" s="210"/>
      <c r="H64" s="200">
        <v>6</v>
      </c>
      <c r="I64" s="218"/>
      <c r="J64" s="218"/>
      <c r="K64" s="208"/>
      <c r="L64" s="221"/>
      <c r="M64" s="221"/>
      <c r="N64" s="218">
        <f t="shared" ref="N64" si="25">J64*50</f>
        <v>0</v>
      </c>
      <c r="O64" s="200"/>
      <c r="P64" s="201"/>
      <c r="Q64" s="203"/>
      <c r="R64" s="208"/>
      <c r="S64" s="206"/>
      <c r="T64" s="206"/>
      <c r="U64" s="210"/>
    </row>
    <row r="65" spans="1:24" ht="17.25" customHeight="1" x14ac:dyDescent="0.2">
      <c r="A65" s="200"/>
      <c r="B65" s="202"/>
      <c r="C65" s="203"/>
      <c r="D65" s="209"/>
      <c r="E65" s="207"/>
      <c r="F65" s="207"/>
      <c r="G65" s="211"/>
      <c r="H65" s="200"/>
      <c r="I65" s="220"/>
      <c r="J65" s="218"/>
      <c r="K65" s="209"/>
      <c r="L65" s="222"/>
      <c r="M65" s="222"/>
      <c r="N65" s="218"/>
      <c r="O65" s="200"/>
      <c r="P65" s="202"/>
      <c r="Q65" s="203"/>
      <c r="R65" s="209"/>
      <c r="S65" s="207"/>
      <c r="T65" s="207"/>
      <c r="U65" s="211"/>
    </row>
    <row r="66" spans="1:24" ht="17.25" customHeight="1" x14ac:dyDescent="0.3">
      <c r="A66" s="200"/>
      <c r="B66" s="201"/>
      <c r="C66" s="203"/>
      <c r="D66" s="208"/>
      <c r="E66" s="206"/>
      <c r="F66" s="206"/>
      <c r="G66" s="210"/>
      <c r="H66" s="200"/>
      <c r="I66" s="201"/>
      <c r="J66" s="203"/>
      <c r="K66" s="61"/>
      <c r="L66" s="60"/>
      <c r="M66" s="60"/>
      <c r="N66" s="203"/>
      <c r="O66" s="200"/>
      <c r="P66" s="201"/>
      <c r="Q66" s="203"/>
      <c r="R66" s="208"/>
      <c r="S66" s="206"/>
      <c r="T66" s="206"/>
      <c r="U66" s="210"/>
    </row>
    <row r="67" spans="1:24" ht="17.25" customHeight="1" x14ac:dyDescent="0.3">
      <c r="A67" s="200"/>
      <c r="B67" s="202"/>
      <c r="C67" s="203"/>
      <c r="D67" s="209"/>
      <c r="E67" s="207"/>
      <c r="F67" s="207"/>
      <c r="G67" s="211"/>
      <c r="H67" s="200"/>
      <c r="I67" s="202"/>
      <c r="J67" s="203"/>
      <c r="K67" s="61"/>
      <c r="L67" s="60"/>
      <c r="M67" s="60"/>
      <c r="N67" s="203"/>
      <c r="O67" s="200"/>
      <c r="P67" s="202"/>
      <c r="Q67" s="203"/>
      <c r="R67" s="209"/>
      <c r="S67" s="207"/>
      <c r="T67" s="207"/>
      <c r="U67" s="211"/>
    </row>
    <row r="68" spans="1:24" ht="17.25" customHeight="1" x14ac:dyDescent="0.3">
      <c r="A68" s="200"/>
      <c r="B68" s="201"/>
      <c r="C68" s="203"/>
      <c r="D68" s="208"/>
      <c r="E68" s="206"/>
      <c r="F68" s="206"/>
      <c r="G68" s="171"/>
      <c r="H68" s="200"/>
      <c r="I68" s="201"/>
      <c r="J68" s="206"/>
      <c r="K68" s="79"/>
      <c r="L68" s="81"/>
      <c r="M68" s="81"/>
      <c r="N68" s="203"/>
      <c r="O68" s="200"/>
      <c r="P68" s="201"/>
      <c r="Q68" s="203"/>
      <c r="R68" s="208"/>
      <c r="S68" s="206"/>
      <c r="T68" s="206"/>
      <c r="U68" s="171"/>
    </row>
    <row r="69" spans="1:24" ht="17.25" customHeight="1" x14ac:dyDescent="0.3">
      <c r="A69" s="200"/>
      <c r="B69" s="202"/>
      <c r="C69" s="203"/>
      <c r="D69" s="209"/>
      <c r="E69" s="207"/>
      <c r="F69" s="207"/>
      <c r="G69" s="213"/>
      <c r="H69" s="200"/>
      <c r="I69" s="202"/>
      <c r="J69" s="207"/>
      <c r="K69" s="80"/>
      <c r="L69" s="82"/>
      <c r="M69" s="82"/>
      <c r="N69" s="203"/>
      <c r="O69" s="200"/>
      <c r="P69" s="202"/>
      <c r="Q69" s="203"/>
      <c r="R69" s="209"/>
      <c r="S69" s="207"/>
      <c r="T69" s="207"/>
      <c r="U69" s="213"/>
      <c r="W69" s="47" t="s">
        <v>22</v>
      </c>
      <c r="X69" s="47"/>
    </row>
    <row r="70" spans="1:24" ht="24" customHeight="1" x14ac:dyDescent="0.3">
      <c r="A70" s="16"/>
      <c r="B70" s="41" t="s">
        <v>43</v>
      </c>
      <c r="C70" s="99">
        <f>SUM(C54:C69)</f>
        <v>0</v>
      </c>
      <c r="D70" s="1"/>
      <c r="E70" s="1"/>
      <c r="F70" s="1"/>
      <c r="G70" s="99">
        <f>SUM(G54:G69)</f>
        <v>0</v>
      </c>
      <c r="H70" s="16"/>
      <c r="I70" s="41" t="s">
        <v>43</v>
      </c>
      <c r="J70" s="99">
        <f>SUM(J54:J69)</f>
        <v>0</v>
      </c>
      <c r="K70" s="1"/>
      <c r="L70" s="1"/>
      <c r="M70" s="1"/>
      <c r="N70" s="99">
        <f>SUM(N54:N69)</f>
        <v>0</v>
      </c>
      <c r="O70" s="16"/>
      <c r="P70" s="41" t="s">
        <v>43</v>
      </c>
      <c r="Q70" s="99">
        <f>SUM(Q54:Q69)</f>
        <v>0</v>
      </c>
      <c r="R70" s="1"/>
      <c r="S70" s="1"/>
      <c r="T70" s="1"/>
      <c r="U70" s="99">
        <f>SUM(U54:U69)</f>
        <v>0</v>
      </c>
      <c r="W70" s="47">
        <f>SUM(C22,J22,Q22,C70,J70,Q70)</f>
        <v>602</v>
      </c>
      <c r="X70" s="97">
        <f>SUM(G22,N22,U22,G70,N70,U70)</f>
        <v>30100</v>
      </c>
    </row>
    <row r="71" spans="1:24" ht="11.25" customHeight="1" x14ac:dyDescent="0.2">
      <c r="A71" s="48"/>
      <c r="H71" s="48"/>
      <c r="O71" s="48"/>
      <c r="W71" s="47">
        <f>W70*50</f>
        <v>30100</v>
      </c>
      <c r="X71" s="47"/>
    </row>
    <row r="72" spans="1:24" ht="13.2" x14ac:dyDescent="0.25">
      <c r="A72" s="42" t="s">
        <v>42</v>
      </c>
      <c r="B72" s="212" t="s">
        <v>258</v>
      </c>
      <c r="C72" s="212"/>
      <c r="D72" s="212"/>
      <c r="E72" s="212"/>
      <c r="F72" s="212"/>
      <c r="H72" s="42" t="s">
        <v>42</v>
      </c>
      <c r="I72" s="212" t="s">
        <v>259</v>
      </c>
      <c r="J72" s="212"/>
      <c r="K72" s="212"/>
      <c r="L72" s="212"/>
      <c r="M72" s="212"/>
      <c r="O72" s="42" t="s">
        <v>42</v>
      </c>
      <c r="P72" s="212" t="s">
        <v>260</v>
      </c>
      <c r="Q72" s="212"/>
      <c r="R72" s="212"/>
      <c r="S72" s="212"/>
      <c r="T72" s="212"/>
    </row>
    <row r="73" spans="1:24" ht="19.5" customHeight="1" x14ac:dyDescent="0.2"/>
    <row r="74" spans="1:24" x14ac:dyDescent="0.2">
      <c r="F74" s="171" t="s">
        <v>41</v>
      </c>
      <c r="M74" s="171" t="s">
        <v>41</v>
      </c>
      <c r="T74" s="171" t="s">
        <v>41</v>
      </c>
    </row>
    <row r="75" spans="1:24" x14ac:dyDescent="0.2">
      <c r="F75" s="172"/>
      <c r="M75" s="172"/>
      <c r="T75" s="172"/>
    </row>
    <row r="76" spans="1:24" ht="13.2" x14ac:dyDescent="0.25">
      <c r="A76" s="26" t="s">
        <v>33</v>
      </c>
      <c r="F76" s="172"/>
      <c r="H76" s="26" t="s">
        <v>33</v>
      </c>
      <c r="M76" s="172"/>
      <c r="O76" s="26" t="s">
        <v>33</v>
      </c>
      <c r="T76" s="172"/>
    </row>
    <row r="77" spans="1:24" ht="13.2" x14ac:dyDescent="0.25">
      <c r="A77" s="46" t="s">
        <v>32</v>
      </c>
      <c r="F77" s="213"/>
      <c r="H77" s="46" t="s">
        <v>32</v>
      </c>
      <c r="M77" s="213"/>
      <c r="O77" s="46" t="s">
        <v>32</v>
      </c>
      <c r="T77" s="213"/>
    </row>
    <row r="78" spans="1:24" ht="12.75" customHeight="1" x14ac:dyDescent="0.2">
      <c r="E78" t="s">
        <v>40</v>
      </c>
      <c r="F78" s="40"/>
      <c r="L78" t="s">
        <v>40</v>
      </c>
      <c r="M78" s="40"/>
      <c r="S78" t="s">
        <v>40</v>
      </c>
      <c r="T78" s="40"/>
    </row>
    <row r="79" spans="1:24" ht="21.6" customHeight="1" x14ac:dyDescent="0.25">
      <c r="A79" s="42" t="s">
        <v>39</v>
      </c>
      <c r="B79" s="42"/>
      <c r="C79" s="42"/>
      <c r="D79" s="42"/>
      <c r="E79" s="42"/>
      <c r="F79" s="42"/>
      <c r="G79" s="42"/>
      <c r="H79" s="42" t="s">
        <v>39</v>
      </c>
      <c r="I79" s="42"/>
      <c r="J79" s="42"/>
      <c r="K79" s="42"/>
      <c r="L79" s="42"/>
      <c r="M79" s="42"/>
      <c r="N79" s="42"/>
      <c r="O79" s="42" t="s">
        <v>39</v>
      </c>
      <c r="P79" s="42"/>
      <c r="Q79" s="42"/>
      <c r="R79" s="42"/>
      <c r="S79" s="42"/>
      <c r="T79" s="42"/>
      <c r="U79" s="42"/>
    </row>
    <row r="80" spans="1:24" ht="13.2" x14ac:dyDescent="0.25">
      <c r="A80" s="42" t="s">
        <v>38</v>
      </c>
      <c r="H80" s="42" t="s">
        <v>38</v>
      </c>
      <c r="O80" s="42" t="s">
        <v>38</v>
      </c>
    </row>
    <row r="81" spans="1:19" ht="13.2" x14ac:dyDescent="0.25">
      <c r="A81" s="42" t="s">
        <v>37</v>
      </c>
      <c r="H81" s="42" t="s">
        <v>37</v>
      </c>
      <c r="O81" s="42" t="s">
        <v>37</v>
      </c>
    </row>
    <row r="82" spans="1:19" ht="13.2" x14ac:dyDescent="0.25">
      <c r="A82" s="42" t="s">
        <v>36</v>
      </c>
      <c r="H82" s="42" t="s">
        <v>36</v>
      </c>
      <c r="O82" s="42" t="s">
        <v>36</v>
      </c>
    </row>
    <row r="83" spans="1:19" ht="13.2" x14ac:dyDescent="0.25">
      <c r="A83" s="42" t="s">
        <v>35</v>
      </c>
      <c r="H83" s="42" t="s">
        <v>35</v>
      </c>
      <c r="O83" s="42" t="s">
        <v>35</v>
      </c>
    </row>
    <row r="84" spans="1:19" ht="13.2" x14ac:dyDescent="0.25">
      <c r="A84" s="42" t="s">
        <v>34</v>
      </c>
      <c r="H84" s="42" t="s">
        <v>34</v>
      </c>
      <c r="O84" s="42" t="s">
        <v>34</v>
      </c>
    </row>
    <row r="85" spans="1:19" ht="13.2" x14ac:dyDescent="0.25">
      <c r="A85" s="26" t="s">
        <v>33</v>
      </c>
      <c r="H85" s="26" t="s">
        <v>33</v>
      </c>
      <c r="O85" s="26" t="s">
        <v>33</v>
      </c>
    </row>
    <row r="86" spans="1:19" ht="13.2" x14ac:dyDescent="0.25">
      <c r="A86" s="46" t="s">
        <v>32</v>
      </c>
      <c r="E86" t="s">
        <v>31</v>
      </c>
      <c r="H86" s="46" t="s">
        <v>32</v>
      </c>
      <c r="L86" t="s">
        <v>31</v>
      </c>
      <c r="O86" s="46" t="s">
        <v>32</v>
      </c>
      <c r="S86" t="s">
        <v>31</v>
      </c>
    </row>
    <row r="88" spans="1:19" ht="13.2" x14ac:dyDescent="0.25">
      <c r="C88" t="s">
        <v>30</v>
      </c>
      <c r="J88" t="s">
        <v>30</v>
      </c>
      <c r="Q88" t="s">
        <v>30</v>
      </c>
    </row>
    <row r="89" spans="1:19" x14ac:dyDescent="0.2">
      <c r="C89" t="s">
        <v>29</v>
      </c>
      <c r="J89" t="s">
        <v>29</v>
      </c>
      <c r="Q89" t="s">
        <v>29</v>
      </c>
    </row>
    <row r="90" spans="1:19" ht="9.6" customHeight="1" x14ac:dyDescent="0.25">
      <c r="A90" s="45"/>
      <c r="H90" s="45"/>
      <c r="O90" s="45"/>
    </row>
    <row r="91" spans="1:19" x14ac:dyDescent="0.2">
      <c r="D91" s="43" t="s">
        <v>28</v>
      </c>
      <c r="K91" s="43" t="s">
        <v>28</v>
      </c>
      <c r="R91" s="43" t="s">
        <v>28</v>
      </c>
    </row>
    <row r="92" spans="1:19" ht="13.2" x14ac:dyDescent="0.25">
      <c r="A92" s="42" t="s">
        <v>27</v>
      </c>
      <c r="H92" s="42" t="s">
        <v>27</v>
      </c>
      <c r="O92" s="42" t="s">
        <v>27</v>
      </c>
    </row>
    <row r="93" spans="1:19" ht="13.2" x14ac:dyDescent="0.25">
      <c r="A93" s="42" t="s">
        <v>26</v>
      </c>
      <c r="H93" s="42" t="s">
        <v>26</v>
      </c>
      <c r="O93" s="42" t="s">
        <v>26</v>
      </c>
    </row>
    <row r="94" spans="1:19" ht="22.5" customHeight="1" x14ac:dyDescent="0.25">
      <c r="A94" s="42" t="s">
        <v>25</v>
      </c>
      <c r="H94" s="42" t="s">
        <v>25</v>
      </c>
      <c r="O94" s="42" t="s">
        <v>25</v>
      </c>
    </row>
  </sheetData>
  <mergeCells count="354">
    <mergeCell ref="A8:A9"/>
    <mergeCell ref="I12:I13"/>
    <mergeCell ref="J12:J13"/>
    <mergeCell ref="Y3:AB3"/>
    <mergeCell ref="U18:U19"/>
    <mergeCell ref="AA16:AA17"/>
    <mergeCell ref="Y18:Y19"/>
    <mergeCell ref="Z18:Z19"/>
    <mergeCell ref="AA18:AA19"/>
    <mergeCell ref="O16:O17"/>
    <mergeCell ref="P16:P17"/>
    <mergeCell ref="Q16:Q17"/>
    <mergeCell ref="U16:U17"/>
    <mergeCell ref="O18:O19"/>
    <mergeCell ref="P18:P19"/>
    <mergeCell ref="O12:O13"/>
    <mergeCell ref="U12:U13"/>
    <mergeCell ref="O14:O15"/>
    <mergeCell ref="P14:P15"/>
    <mergeCell ref="Q14:Q15"/>
    <mergeCell ref="H8:H9"/>
    <mergeCell ref="H12:H13"/>
    <mergeCell ref="F14:F15"/>
    <mergeCell ref="G16:G17"/>
    <mergeCell ref="A60:A61"/>
    <mergeCell ref="H56:H57"/>
    <mergeCell ref="I56:I57"/>
    <mergeCell ref="B60:B61"/>
    <mergeCell ref="C60:C61"/>
    <mergeCell ref="G54:G55"/>
    <mergeCell ref="H54:H55"/>
    <mergeCell ref="I54:I55"/>
    <mergeCell ref="J54:J55"/>
    <mergeCell ref="D60:D61"/>
    <mergeCell ref="E60:E61"/>
    <mergeCell ref="A58:A59"/>
    <mergeCell ref="B58:B59"/>
    <mergeCell ref="C58:C59"/>
    <mergeCell ref="B54:B55"/>
    <mergeCell ref="C54:C55"/>
    <mergeCell ref="A54:A55"/>
    <mergeCell ref="U68:U69"/>
    <mergeCell ref="H66:H67"/>
    <mergeCell ref="K3:M3"/>
    <mergeCell ref="R3:T3"/>
    <mergeCell ref="D54:D55"/>
    <mergeCell ref="E54:E55"/>
    <mergeCell ref="F54:F55"/>
    <mergeCell ref="K54:K55"/>
    <mergeCell ref="L54:L55"/>
    <mergeCell ref="M54:M55"/>
    <mergeCell ref="D20:D21"/>
    <mergeCell ref="E20:E21"/>
    <mergeCell ref="F20:F21"/>
    <mergeCell ref="D16:D17"/>
    <mergeCell ref="E16:E17"/>
    <mergeCell ref="F16:F17"/>
    <mergeCell ref="D62:D63"/>
    <mergeCell ref="E62:E63"/>
    <mergeCell ref="D3:F3"/>
    <mergeCell ref="D14:D15"/>
    <mergeCell ref="E14:E15"/>
    <mergeCell ref="P56:P57"/>
    <mergeCell ref="Q56:Q57"/>
    <mergeCell ref="G60:G61"/>
    <mergeCell ref="A68:A69"/>
    <mergeCell ref="A66:A67"/>
    <mergeCell ref="B64:B65"/>
    <mergeCell ref="C64:C65"/>
    <mergeCell ref="C68:C69"/>
    <mergeCell ref="A62:A63"/>
    <mergeCell ref="A64:A65"/>
    <mergeCell ref="D68:D69"/>
    <mergeCell ref="E68:E69"/>
    <mergeCell ref="D64:D65"/>
    <mergeCell ref="E64:E65"/>
    <mergeCell ref="D66:D67"/>
    <mergeCell ref="E66:E67"/>
    <mergeCell ref="B68:B69"/>
    <mergeCell ref="F74:F77"/>
    <mergeCell ref="M74:M77"/>
    <mergeCell ref="T74:T77"/>
    <mergeCell ref="O68:O69"/>
    <mergeCell ref="P68:P69"/>
    <mergeCell ref="Q68:Q69"/>
    <mergeCell ref="I72:M72"/>
    <mergeCell ref="I60:I61"/>
    <mergeCell ref="J62:J63"/>
    <mergeCell ref="B72:F72"/>
    <mergeCell ref="N62:N63"/>
    <mergeCell ref="H60:H61"/>
    <mergeCell ref="B62:B63"/>
    <mergeCell ref="C62:C63"/>
    <mergeCell ref="G62:G63"/>
    <mergeCell ref="B66:B67"/>
    <mergeCell ref="C66:C67"/>
    <mergeCell ref="O66:O67"/>
    <mergeCell ref="P66:P67"/>
    <mergeCell ref="H68:H69"/>
    <mergeCell ref="I68:I69"/>
    <mergeCell ref="J68:J69"/>
    <mergeCell ref="N68:N69"/>
    <mergeCell ref="J60:J61"/>
    <mergeCell ref="N66:N67"/>
    <mergeCell ref="F62:F63"/>
    <mergeCell ref="N60:N61"/>
    <mergeCell ref="H62:H63"/>
    <mergeCell ref="H58:H59"/>
    <mergeCell ref="I58:I59"/>
    <mergeCell ref="J58:J59"/>
    <mergeCell ref="I62:I63"/>
    <mergeCell ref="H64:H65"/>
    <mergeCell ref="I64:I65"/>
    <mergeCell ref="J64:J65"/>
    <mergeCell ref="F64:F65"/>
    <mergeCell ref="F66:F67"/>
    <mergeCell ref="L64:L65"/>
    <mergeCell ref="M64:M65"/>
    <mergeCell ref="N64:N65"/>
    <mergeCell ref="K58:K59"/>
    <mergeCell ref="L58:L59"/>
    <mergeCell ref="M58:M59"/>
    <mergeCell ref="K64:K65"/>
    <mergeCell ref="G64:G65"/>
    <mergeCell ref="G66:G67"/>
    <mergeCell ref="F68:F69"/>
    <mergeCell ref="F60:F61"/>
    <mergeCell ref="G68:G69"/>
    <mergeCell ref="K60:K61"/>
    <mergeCell ref="L60:L61"/>
    <mergeCell ref="M60:M61"/>
    <mergeCell ref="N54:N55"/>
    <mergeCell ref="U60:U61"/>
    <mergeCell ref="U62:U63"/>
    <mergeCell ref="U64:U65"/>
    <mergeCell ref="U66:U67"/>
    <mergeCell ref="S66:S67"/>
    <mergeCell ref="T66:T67"/>
    <mergeCell ref="S58:S59"/>
    <mergeCell ref="T58:T59"/>
    <mergeCell ref="R64:R65"/>
    <mergeCell ref="S64:S65"/>
    <mergeCell ref="T64:T65"/>
    <mergeCell ref="R58:R59"/>
    <mergeCell ref="G58:G59"/>
    <mergeCell ref="U54:U55"/>
    <mergeCell ref="N58:N59"/>
    <mergeCell ref="I66:I67"/>
    <mergeCell ref="J66:J67"/>
    <mergeCell ref="P72:T72"/>
    <mergeCell ref="O60:O61"/>
    <mergeCell ref="P60:P61"/>
    <mergeCell ref="Q60:Q61"/>
    <mergeCell ref="O62:O63"/>
    <mergeCell ref="P62:P63"/>
    <mergeCell ref="Q62:Q63"/>
    <mergeCell ref="O64:O65"/>
    <mergeCell ref="P64:P65"/>
    <mergeCell ref="Q64:Q65"/>
    <mergeCell ref="R60:R61"/>
    <mergeCell ref="S60:S61"/>
    <mergeCell ref="T60:T61"/>
    <mergeCell ref="R62:R63"/>
    <mergeCell ref="S62:S63"/>
    <mergeCell ref="T62:T63"/>
    <mergeCell ref="R66:R67"/>
    <mergeCell ref="R68:R69"/>
    <mergeCell ref="S68:S69"/>
    <mergeCell ref="T68:T69"/>
    <mergeCell ref="Q66:Q67"/>
    <mergeCell ref="O58:O59"/>
    <mergeCell ref="P58:P59"/>
    <mergeCell ref="Q58:Q59"/>
    <mergeCell ref="U58:U59"/>
    <mergeCell ref="A56:A57"/>
    <mergeCell ref="B56:B57"/>
    <mergeCell ref="C56:C57"/>
    <mergeCell ref="G56:G57"/>
    <mergeCell ref="J56:J57"/>
    <mergeCell ref="D56:D57"/>
    <mergeCell ref="E56:E57"/>
    <mergeCell ref="F56:F57"/>
    <mergeCell ref="U56:U57"/>
    <mergeCell ref="AA26:AA29"/>
    <mergeCell ref="N56:N57"/>
    <mergeCell ref="O56:O57"/>
    <mergeCell ref="V18:V19"/>
    <mergeCell ref="X18:X19"/>
    <mergeCell ref="AB18:AB19"/>
    <mergeCell ref="Y16:Y17"/>
    <mergeCell ref="Z16:Z17"/>
    <mergeCell ref="Y20:Y21"/>
    <mergeCell ref="AA20:AA21"/>
    <mergeCell ref="Z20:Z21"/>
    <mergeCell ref="H49:N49"/>
    <mergeCell ref="W24:AA24"/>
    <mergeCell ref="O49:U49"/>
    <mergeCell ref="P24:T24"/>
    <mergeCell ref="T26:T29"/>
    <mergeCell ref="X20:X21"/>
    <mergeCell ref="W18:W19"/>
    <mergeCell ref="W20:W21"/>
    <mergeCell ref="H16:H17"/>
    <mergeCell ref="I16:I17"/>
    <mergeCell ref="U20:U21"/>
    <mergeCell ref="AB16:AB17"/>
    <mergeCell ref="R54:R55"/>
    <mergeCell ref="G8:G9"/>
    <mergeCell ref="G10:G11"/>
    <mergeCell ref="G14:G15"/>
    <mergeCell ref="AB20:AB21"/>
    <mergeCell ref="V14:V15"/>
    <mergeCell ref="W14:W15"/>
    <mergeCell ref="X14:X15"/>
    <mergeCell ref="U14:U15"/>
    <mergeCell ref="V20:V21"/>
    <mergeCell ref="O20:O21"/>
    <mergeCell ref="P20:P21"/>
    <mergeCell ref="Q20:Q21"/>
    <mergeCell ref="H14:H15"/>
    <mergeCell ref="I14:I15"/>
    <mergeCell ref="J14:J15"/>
    <mergeCell ref="N10:N11"/>
    <mergeCell ref="N8:N9"/>
    <mergeCell ref="P12:P13"/>
    <mergeCell ref="Q12:Q13"/>
    <mergeCell ref="J10:J11"/>
    <mergeCell ref="U10:U11"/>
    <mergeCell ref="A10:A11"/>
    <mergeCell ref="A12:A13"/>
    <mergeCell ref="C12:C13"/>
    <mergeCell ref="A14:A15"/>
    <mergeCell ref="A20:A21"/>
    <mergeCell ref="A16:A17"/>
    <mergeCell ref="A18:A19"/>
    <mergeCell ref="B16:B17"/>
    <mergeCell ref="B18:B19"/>
    <mergeCell ref="C16:C17"/>
    <mergeCell ref="C18:C19"/>
    <mergeCell ref="C14:C15"/>
    <mergeCell ref="B12:B13"/>
    <mergeCell ref="B14:B15"/>
    <mergeCell ref="C10:C11"/>
    <mergeCell ref="C20:C21"/>
    <mergeCell ref="B8:B9"/>
    <mergeCell ref="B10:B11"/>
    <mergeCell ref="I8:I9"/>
    <mergeCell ref="J8:J9"/>
    <mergeCell ref="C8:C9"/>
    <mergeCell ref="G12:G13"/>
    <mergeCell ref="O1:U1"/>
    <mergeCell ref="O6:O7"/>
    <mergeCell ref="P6:P7"/>
    <mergeCell ref="Q6:Q7"/>
    <mergeCell ref="U6:U7"/>
    <mergeCell ref="N12:N13"/>
    <mergeCell ref="A1:G1"/>
    <mergeCell ref="H1:N1"/>
    <mergeCell ref="H6:H7"/>
    <mergeCell ref="I6:I7"/>
    <mergeCell ref="J6:J7"/>
    <mergeCell ref="N6:N7"/>
    <mergeCell ref="B6:B7"/>
    <mergeCell ref="A6:A7"/>
    <mergeCell ref="H10:H11"/>
    <mergeCell ref="I10:I11"/>
    <mergeCell ref="C6:C7"/>
    <mergeCell ref="G6:G7"/>
    <mergeCell ref="V1:AB1"/>
    <mergeCell ref="V6:V7"/>
    <mergeCell ref="W6:W7"/>
    <mergeCell ref="X6:X7"/>
    <mergeCell ref="V12:V13"/>
    <mergeCell ref="N16:N17"/>
    <mergeCell ref="J16:J17"/>
    <mergeCell ref="V16:V17"/>
    <mergeCell ref="W16:W17"/>
    <mergeCell ref="X16:X17"/>
    <mergeCell ref="Y14:Y15"/>
    <mergeCell ref="Z14:Z15"/>
    <mergeCell ref="AA14:AA15"/>
    <mergeCell ref="AB14:AB15"/>
    <mergeCell ref="N14:N15"/>
    <mergeCell ref="Q10:Q11"/>
    <mergeCell ref="O8:O9"/>
    <mergeCell ref="P8:P9"/>
    <mergeCell ref="Q8:Q9"/>
    <mergeCell ref="U8:U9"/>
    <mergeCell ref="O10:O11"/>
    <mergeCell ref="P10:P11"/>
    <mergeCell ref="V8:V9"/>
    <mergeCell ref="V10:V11"/>
    <mergeCell ref="AC10:AC11"/>
    <mergeCell ref="AD10:AD11"/>
    <mergeCell ref="AE10:AE11"/>
    <mergeCell ref="AF10:AF11"/>
    <mergeCell ref="W10:W11"/>
    <mergeCell ref="W8:W9"/>
    <mergeCell ref="AC22:AC23"/>
    <mergeCell ref="AD22:AD23"/>
    <mergeCell ref="AE22:AE23"/>
    <mergeCell ref="AF22:AF23"/>
    <mergeCell ref="AE6:AE7"/>
    <mergeCell ref="AF6:AF7"/>
    <mergeCell ref="W12:W13"/>
    <mergeCell ref="X12:X13"/>
    <mergeCell ref="AB12:AB13"/>
    <mergeCell ref="AF12:AF13"/>
    <mergeCell ref="AC15:AC21"/>
    <mergeCell ref="AD15:AD21"/>
    <mergeCell ref="AE15:AE21"/>
    <mergeCell ref="AF15:AF21"/>
    <mergeCell ref="AC12:AC13"/>
    <mergeCell ref="AD12:AD13"/>
    <mergeCell ref="AE12:AE13"/>
    <mergeCell ref="X8:X9"/>
    <mergeCell ref="X10:X11"/>
    <mergeCell ref="AC8:AC9"/>
    <mergeCell ref="AD8:AD9"/>
    <mergeCell ref="AE8:AE9"/>
    <mergeCell ref="AB8:AB9"/>
    <mergeCell ref="AC6:AC7"/>
    <mergeCell ref="AD6:AD7"/>
    <mergeCell ref="AB6:AB7"/>
    <mergeCell ref="AF8:AF9"/>
    <mergeCell ref="AB10:AB11"/>
    <mergeCell ref="D51:F51"/>
    <mergeCell ref="K51:M51"/>
    <mergeCell ref="H20:H21"/>
    <mergeCell ref="J18:J19"/>
    <mergeCell ref="B24:F24"/>
    <mergeCell ref="A49:G49"/>
    <mergeCell ref="B20:B21"/>
    <mergeCell ref="M26:M29"/>
    <mergeCell ref="I24:M24"/>
    <mergeCell ref="H18:H19"/>
    <mergeCell ref="I18:I19"/>
    <mergeCell ref="D18:D19"/>
    <mergeCell ref="E18:E19"/>
    <mergeCell ref="F18:F19"/>
    <mergeCell ref="F26:F29"/>
    <mergeCell ref="G18:G19"/>
    <mergeCell ref="I20:I21"/>
    <mergeCell ref="J20:J21"/>
    <mergeCell ref="G20:G21"/>
    <mergeCell ref="S54:S55"/>
    <mergeCell ref="T54:T55"/>
    <mergeCell ref="O54:O55"/>
    <mergeCell ref="N18:N19"/>
    <mergeCell ref="Q18:Q19"/>
    <mergeCell ref="P54:P55"/>
    <mergeCell ref="Q54:Q55"/>
    <mergeCell ref="N20:N21"/>
    <mergeCell ref="R51:T51"/>
  </mergeCells>
  <phoneticPr fontId="23" type="noConversion"/>
  <pageMargins left="0.70866141732283472" right="0.70866141732283472" top="0.55118110236220474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SIGNAL Refresh</vt:lpstr>
      <vt:lpstr>Sheet1</vt:lpstr>
      <vt:lpstr>SIGNAL Bill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</dc:creator>
  <cp:lastModifiedBy>Arun Kumar</cp:lastModifiedBy>
  <cp:lastPrinted>2023-11-26T20:36:41Z</cp:lastPrinted>
  <dcterms:created xsi:type="dcterms:W3CDTF">2012-03-02T16:30:47Z</dcterms:created>
  <dcterms:modified xsi:type="dcterms:W3CDTF">2024-08-19T14:03:48Z</dcterms:modified>
</cp:coreProperties>
</file>